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crete" sheetId="2" state="visible" r:id="rId4"/>
    <sheet name="Walls" sheetId="3" state="visible" r:id="rId5"/>
    <sheet name="Floors" sheetId="4" state="visible" r:id="rId6"/>
    <sheet name="Doors_Windows" sheetId="5" state="visible" r:id="rId7"/>
    <sheet name="Railings" sheetId="6" state="visible" r:id="rId8"/>
    <sheet name="Rooms" sheetId="7" state="visible" r:id="rId9"/>
    <sheet name="Gaps_NextStep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<sst xmlns="http://schemas.openxmlformats.org/spreadsheetml/2006/main" count="345" uniqueCount="170">
  <si>
    <t xml:space="preserve">Quantity Takeoff &amp; Cost Estimate</t>
  </si>
  <si>
    <t xml:space="preserve">Sample Test Run — Paracore-TakeOff MCP</t>
  </si>
  <si>
    <t xml:space="preserve">Generated June 20, 2026  |  Architectural elements only — no MEP, no structural reinforcement modeled yet</t>
  </si>
  <si>
    <t xml:space="preserve">Category</t>
  </si>
  <si>
    <t xml:space="preserve">Source Sheet</t>
  </si>
  <si>
    <t xml:space="preserve">Quantity</t>
  </si>
  <si>
    <t xml:space="preserve">Unit</t>
  </si>
  <si>
    <t xml:space="preserve">Unit Price ($)</t>
  </si>
  <si>
    <t xml:space="preserve">Subtotal ($)</t>
  </si>
  <si>
    <t xml:space="preserve">Concrete (all elements)</t>
  </si>
  <si>
    <t xml:space="preserve">Concrete</t>
  </si>
  <si>
    <t xml:space="preserve">m3</t>
  </si>
  <si>
    <t xml:space="preserve">Formwork (actual, columns + walls)</t>
  </si>
  <si>
    <t xml:space="preserve">m2</t>
  </si>
  <si>
    <t xml:space="preserve">Masonry / Block Walls</t>
  </si>
  <si>
    <t xml:space="preserve">Walls</t>
  </si>
  <si>
    <t xml:space="preserve">Wall Finishes (2-sided)</t>
  </si>
  <si>
    <t xml:space="preserve">Floor Finishes</t>
  </si>
  <si>
    <t xml:space="preserve">Floors</t>
  </si>
  <si>
    <t xml:space="preserve">Doors (all types)</t>
  </si>
  <si>
    <t xml:space="preserve">Doors_Windows</t>
  </si>
  <si>
    <t xml:space="preserve">no.</t>
  </si>
  <si>
    <t xml:space="preserve">Windows (all types)</t>
  </si>
  <si>
    <t xml:space="preserve">Railings</t>
  </si>
  <si>
    <t xml:space="preserve">m</t>
  </si>
  <si>
    <t xml:space="preserve">Rooms — Internal Finishes Allowance</t>
  </si>
  <si>
    <t xml:space="preserve">Rooms</t>
  </si>
  <si>
    <t xml:space="preserve">GRAND TOTAL (architectural elements modeled to date)</t>
  </si>
  <si>
    <t xml:space="preserve">Note: Unit prices below are placeholder/dummy figures for workflow-testing purposes only. Replace with real local rates before using for actual bidding or budgeting.</t>
  </si>
  <si>
    <t xml:space="preserve">Excluded from this estimate (not yet modeled): MEP (mechanical, electrical, plumbing), structural reinforcement/rebar (estimated rebar shown separately in Concrete tab is a rough weight allowance, not a priced line), site works, external works.</t>
  </si>
  <si>
    <t xml:space="preserve">Concrete Takeoff — by Material &amp; Category</t>
  </si>
  <si>
    <t xml:space="preserve">Concrete unit price ($/m3)</t>
  </si>
  <si>
    <t xml:space="preserve">Source: get_concrete_summary  |  Structural Foundations excluded (0 usable instances in model)</t>
  </si>
  <si>
    <t xml:space="preserve">Formwork unit price ($/m2)</t>
  </si>
  <si>
    <t xml:space="preserve">Rebar unit price ($/kg)</t>
  </si>
  <si>
    <t xml:space="preserve">Material</t>
  </si>
  <si>
    <t xml:space="preserve">Volume (m3)</t>
  </si>
  <si>
    <t xml:space="preserve">Element Count</t>
  </si>
  <si>
    <t xml:space="preserve">Est. Rebar (kg)</t>
  </si>
  <si>
    <t xml:space="preserve">Concrete Cost ($)</t>
  </si>
  <si>
    <t xml:space="preserve">Rebar Cost ($)</t>
  </si>
  <si>
    <t xml:space="preserve">Line Total ($)</t>
  </si>
  <si>
    <t xml:space="preserve">Concrete (unclassified)</t>
  </si>
  <si>
    <t xml:space="preserve">Concrete, Cast In Situ</t>
  </si>
  <si>
    <t xml:space="preserve">Concrete - Cast-in-Place Concrete</t>
  </si>
  <si>
    <t xml:space="preserve">Structural Columns</t>
  </si>
  <si>
    <t xml:space="preserve">Concrete - Precast Concrete</t>
  </si>
  <si>
    <t xml:space="preserve">Structural Framing</t>
  </si>
  <si>
    <t xml:space="preserve">TOTAL CONCRETE</t>
  </si>
  <si>
    <t xml:space="preserve">Formwork (Actual — from compute_formwork)</t>
  </si>
  <si>
    <t xml:space="preserve">Source: compute_formwork tool now returns full element counts with a preserved TOTAL row even when detail rows are truncated for token efficiency. Confirmed: Structural Columns = 228 elements, Walls = 594 elements (includes openings/doors/windows as separate formwork lines).</t>
  </si>
  <si>
    <t xml:space="preserve">Structural Columns Formwork (compute_formwork)</t>
  </si>
  <si>
    <t xml:space="preserve">Walls Formwork (compute_formwork)</t>
  </si>
  <si>
    <t xml:space="preserve">TOTAL FORMWORK</t>
  </si>
  <si>
    <t xml:space="preserve">Wall Quantities — by Level</t>
  </si>
  <si>
    <t xml:space="preserve">Wall area unit price ($/m2)</t>
  </si>
  <si>
    <t xml:space="preserve">Source: get_quantities_by_level("Walls")</t>
  </si>
  <si>
    <t xml:space="preserve">Wall finish unit price ($/m2)</t>
  </si>
  <si>
    <t xml:space="preserve">Level</t>
  </si>
  <si>
    <t xml:space="preserve">Area (m2)</t>
  </si>
  <si>
    <t xml:space="preserve">Length (m)</t>
  </si>
  <si>
    <t xml:space="preserve">Level 0</t>
  </si>
  <si>
    <t xml:space="preserve">Level 1</t>
  </si>
  <si>
    <t xml:space="preserve">Level 2</t>
  </si>
  <si>
    <t xml:space="preserve">Level 3</t>
  </si>
  <si>
    <t xml:space="preserve">Level 4</t>
  </si>
  <si>
    <t xml:space="preserve">Level 5</t>
  </si>
  <si>
    <t xml:space="preserve">Level 6</t>
  </si>
  <si>
    <t xml:space="preserve">Level 7</t>
  </si>
  <si>
    <t xml:space="preserve">Service Top Tie</t>
  </si>
  <si>
    <t xml:space="preserve">TOTAL</t>
  </si>
  <si>
    <t xml:space="preserve">Floor Finish Areas — by Type &amp; Level</t>
  </si>
  <si>
    <t xml:space="preserve">Floor finish unit price ($/m2)</t>
  </si>
  <si>
    <t xml:space="preserve">Source: get_floor_finish_summary</t>
  </si>
  <si>
    <t xml:space="preserve">Type</t>
  </si>
  <si>
    <t xml:space="preserve">Total Area (m2)</t>
  </si>
  <si>
    <t xml:space="preserve">Cost ($)</t>
  </si>
  <si>
    <t xml:space="preserve">Generic 150mm</t>
  </si>
  <si>
    <t xml:space="preserve">RoofSlab</t>
  </si>
  <si>
    <t xml:space="preserve">Level Roof</t>
  </si>
  <si>
    <t xml:space="preserve">CanopyFloor</t>
  </si>
  <si>
    <t xml:space="preserve">Doors &amp; Windows — by Type</t>
  </si>
  <si>
    <t xml:space="preserve">Avg. door unit price ($/ea, supply+install)</t>
  </si>
  <si>
    <t xml:space="preserve">Source: get_counts_by_type("Doors"), get_counts_by_type("Windows")</t>
  </si>
  <si>
    <t xml:space="preserve">Avg. window unit price ($/ea, supply+install)</t>
  </si>
  <si>
    <t xml:space="preserve">DOORS</t>
  </si>
  <si>
    <t xml:space="preserve">Count</t>
  </si>
  <si>
    <t xml:space="preserve">90cm door</t>
  </si>
  <si>
    <t xml:space="preserve">70cm door</t>
  </si>
  <si>
    <t xml:space="preserve">Glass_Panel</t>
  </si>
  <si>
    <t xml:space="preserve">60cm door</t>
  </si>
  <si>
    <t xml:space="preserve">Glass_Panel-12mm_Thickness</t>
  </si>
  <si>
    <t xml:space="preserve">Glass_Dbl_Door</t>
  </si>
  <si>
    <t xml:space="preserve">1810x2110mm</t>
  </si>
  <si>
    <t xml:space="preserve">80cm door</t>
  </si>
  <si>
    <t xml:space="preserve">TOTAL DOORS</t>
  </si>
  <si>
    <t xml:space="preserve">WINDOWS</t>
  </si>
  <si>
    <t xml:space="preserve">ToiletWin</t>
  </si>
  <si>
    <t xml:space="preserve">TOTAL WINDOWS</t>
  </si>
  <si>
    <t xml:space="preserve">Railings — Linear Quantities</t>
  </si>
  <si>
    <t xml:space="preserve">Railing unit price ($/m, supply+install)</t>
  </si>
  <si>
    <t xml:space="preserve">Source: get_linear_summary("Railings")</t>
  </si>
  <si>
    <t xml:space="preserve">Total Length (m)</t>
  </si>
  <si>
    <t xml:space="preserve">TerraceRail</t>
  </si>
  <si>
    <t xml:space="preserve">60cm</t>
  </si>
  <si>
    <t xml:space="preserve">(unset — model data gap)</t>
  </si>
  <si>
    <t xml:space="preserve">Room Schedule — Area, Perimeter, Volume</t>
  </si>
  <si>
    <t xml:space="preserve">Internal finishes allowance ($/m2 floor area)</t>
  </si>
  <si>
    <t xml:space="preserve">Source: get_room_data (after enabling "Compute Volumes" in Revit project settings)</t>
  </si>
  <si>
    <t xml:space="preserve">Room Name</t>
  </si>
  <si>
    <t xml:space="preserve">Number</t>
  </si>
  <si>
    <t xml:space="preserve">Perimeter (m)</t>
  </si>
  <si>
    <t xml:space="preserve">Pavement</t>
  </si>
  <si>
    <t xml:space="preserve">Cafe</t>
  </si>
  <si>
    <t xml:space="preserve">Service Circulation</t>
  </si>
  <si>
    <t xml:space="preserve">Gym</t>
  </si>
  <si>
    <t xml:space="preserve">Pool</t>
  </si>
  <si>
    <t xml:space="preserve">Conference</t>
  </si>
  <si>
    <t xml:space="preserve">Reception</t>
  </si>
  <si>
    <t xml:space="preserve">Kitchen</t>
  </si>
  <si>
    <t xml:space="preserve">Circulation</t>
  </si>
  <si>
    <t xml:space="preserve">Toilets</t>
  </si>
  <si>
    <t xml:space="preserve">Changing</t>
  </si>
  <si>
    <t xml:space="preserve">Verendah</t>
  </si>
  <si>
    <t xml:space="preserve">Store</t>
  </si>
  <si>
    <t xml:space="preserve">Children Pool</t>
  </si>
  <si>
    <t xml:space="preserve">General Store</t>
  </si>
  <si>
    <t xml:space="preserve">Shop_5</t>
  </si>
  <si>
    <t xml:space="preserve">Shop_4</t>
  </si>
  <si>
    <t xml:space="preserve">Shop_1</t>
  </si>
  <si>
    <t xml:space="preserve">Shop_2</t>
  </si>
  <si>
    <t xml:space="preserve">Shop_3</t>
  </si>
  <si>
    <t xml:space="preserve">WC</t>
  </si>
  <si>
    <t xml:space="preserve">Bedroom</t>
  </si>
  <si>
    <t xml:space="preserve">Office</t>
  </si>
  <si>
    <t xml:space="preserve">Laundary</t>
  </si>
  <si>
    <t xml:space="preserve">Generator</t>
  </si>
  <si>
    <t xml:space="preserve">Restaurant</t>
  </si>
  <si>
    <t xml:space="preserve">Bar</t>
  </si>
  <si>
    <t xml:space="preserve">Balcony</t>
  </si>
  <si>
    <t xml:space="preserve">Shower</t>
  </si>
  <si>
    <t xml:space="preserve">Terrace</t>
  </si>
  <si>
    <t xml:space="preserve">Relaxation</t>
  </si>
  <si>
    <t xml:space="preserve">Steam</t>
  </si>
  <si>
    <t xml:space="preserve">Sauna</t>
  </si>
  <si>
    <t xml:space="preserve">What This Test Run Shows — Gaps to Close Before Real Use</t>
  </si>
  <si>
    <t xml:space="preserve">Area</t>
  </si>
  <si>
    <t xml:space="preserve">Current State</t>
  </si>
  <si>
    <t xml:space="preserve">What is Needed to Enhance</t>
  </si>
  <si>
    <t xml:space="preserve">MEP (mechanical, electrical, plumbing)</t>
  </si>
  <si>
    <t xml:space="preserve">Not modeled at all in this project. get_linear_quantities("Pipes") correctly returns 0 — confirmed not a tool bug.</t>
  </si>
  <si>
    <t xml:space="preserve">Model MEP systems in Revit, then re-test get_linear_quantities/get_linear_summary against Pipes, Ducts, Cable Trays, Conduits.</t>
  </si>
  <si>
    <t xml:space="preserve">Structural reinforcement / rebar</t>
  </si>
  <si>
    <t xml:space="preserve">No real rebar elements exist. "EstimatedRebar" in the Concrete tab is a rough weight allowance formula, not actual modeled rebar.</t>
  </si>
  <si>
    <t xml:space="preserve">Either model rebar explicitly, or confirm with the team whether the EstimatedRebar formula is an acceptable placeholder for early-stage estimates.</t>
  </si>
  <si>
    <t xml:space="preserve">Structural steel sections</t>
  </si>
  <si>
    <t xml:space="preserve">All "Structural Framing" elements are concrete beams, not steel. get_steel_tonnage returns "Not Defined" for Section and correctly resolves Weight using a default density — this is model scope, not a bug.</t>
  </si>
  <si>
    <t xml:space="preserve">No action needed unless the project later adds real steel members; tool already works correctly for that case.</t>
  </si>
  <si>
    <t xml:space="preserve">compute_formwork pagination/filtering</t>
  </si>
  <si>
    <t xml:space="preserve">RESOLVED — re-tested and confirmed fixed. compute_formwork now returns the full element count (228 Columns, 594 Walls) and always preserves a TOTAL row at the end of the result, even when detail rows are truncated for token efficiency. Columns formwork = 1,090.08 m2; Walls formwork = 1,197.392 m2. Workbook updated to use these real figures in place of the earlier 2x-wall-area estimate.</t>
  </si>
  <si>
    <t xml:space="preserve">No further action needed for this item.</t>
  </si>
  <si>
    <t xml:space="preserve">Excavation / Structural Foundations</t>
  </si>
  <si>
    <t xml:space="preserve">Model has only 2 placeholder foundation elements with no geometry — get_excavation_quantities correctly returns nothing.</t>
  </si>
  <si>
    <t xml:space="preserve">Model real footings/foundations, then re-test excavation volumes with working_allowance parameter.</t>
  </si>
  <si>
    <t xml:space="preserve">Unit prices used in this workbook</t>
  </si>
  <si>
    <t xml:space="preserve">All unit prices are placeholder dummy figures for workflow testing only (see Blue cells in each tab).</t>
  </si>
  <si>
    <t xml:space="preserve">Replace with real local market rates, or link to a project-specific rate library, before using for actual bidding.</t>
  </si>
  <si>
    <t xml:space="preserve">Minor data gaps</t>
  </si>
  <si>
    <t xml:space="preserve">3 of 36 Railing elements have no Level value set (genuine Revit model gap, confirmed independently across two tools).</t>
  </si>
  <si>
    <t xml:space="preserve">Set Level/Base Level on those 3 railing elements in Revit directly.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</si>
</sst>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\$#,##0;&quot;($&quot;#,##0\);\-"/>
    <numFmt numFmtId="167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E1F2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4"/>
    <col collapsed="false" customWidth="true" hidden="false" outlineLevel="0" max="7" min="7" style="1" width="16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customFormat="false" ht="15" hidden="false" customHeight="true" outlineLevel="0" collapsed="false">
      <c r="B7" s="5" t="s">
        <v>9</v>
      </c>
      <c r="C7" s="5" t="s">
        <v>10</v>
      </c>
      <c r="D7" s="6" t="n">
        <f aca="false">Concrete!K16</f>
        <v>1421.41</v>
      </c>
      <c r="E7" s="5" t="s">
        <v>11</v>
      </c>
      <c r="F7" s="7" t="n">
        <f aca="false">Concrete!I2</f>
        <v>180</v>
      </c>
      <c r="G7" s="7" t="n">
        <f aca="false">D7*F7</f>
        <v>255853.8</v>
      </c>
    </row>
    <row r="8" customFormat="false" ht="15" hidden="false" customHeight="true" outlineLevel="0" collapsed="false">
      <c r="B8" s="5" t="s">
        <v>12</v>
      </c>
      <c r="C8" s="5" t="s">
        <v>10</v>
      </c>
      <c r="D8" s="6" t="n">
        <f aca="false">Concrete!K17</f>
        <v>2287.472</v>
      </c>
      <c r="E8" s="5" t="s">
        <v>13</v>
      </c>
      <c r="F8" s="7" t="n">
        <f aca="false">Concrete!I3</f>
        <v>25</v>
      </c>
      <c r="G8" s="7" t="n">
        <f aca="false">D8*F8</f>
        <v>57186.8</v>
      </c>
    </row>
    <row r="9" customFormat="false" ht="15" hidden="false" customHeight="true" outlineLevel="0" collapsed="false">
      <c r="B9" s="5" t="s">
        <v>14</v>
      </c>
      <c r="C9" s="5" t="s">
        <v>15</v>
      </c>
      <c r="D9" s="6" t="n">
        <f aca="false">Walls!K16</f>
        <v>4505.18</v>
      </c>
      <c r="E9" s="5" t="s">
        <v>13</v>
      </c>
      <c r="F9" s="7" t="n">
        <f aca="false">Walls!I2</f>
        <v>35</v>
      </c>
      <c r="G9" s="7" t="n">
        <f aca="false">D9*F9</f>
        <v>157681.3</v>
      </c>
    </row>
    <row r="10" customFormat="false" ht="15" hidden="false" customHeight="true" outlineLevel="0" collapsed="false">
      <c r="B10" s="5" t="s">
        <v>16</v>
      </c>
      <c r="C10" s="5" t="s">
        <v>15</v>
      </c>
      <c r="D10" s="6" t="n">
        <f aca="false">Walls!K17</f>
        <v>9010.36</v>
      </c>
      <c r="E10" s="5" t="s">
        <v>13</v>
      </c>
      <c r="F10" s="7" t="n">
        <f aca="false">Walls!I3</f>
        <v>18</v>
      </c>
      <c r="G10" s="7" t="n">
        <f aca="false">D10*F10</f>
        <v>162186.48</v>
      </c>
    </row>
    <row r="11" customFormat="false" ht="15" hidden="false" customHeight="true" outlineLevel="0" collapsed="false">
      <c r="B11" s="5" t="s">
        <v>17</v>
      </c>
      <c r="C11" s="5" t="s">
        <v>18</v>
      </c>
      <c r="D11" s="6" t="n">
        <f aca="false">Floors!K16</f>
        <v>2804.17</v>
      </c>
      <c r="E11" s="5" t="s">
        <v>13</v>
      </c>
      <c r="F11" s="7" t="n">
        <f aca="false">Floors!I2</f>
        <v>22</v>
      </c>
      <c r="G11" s="7" t="n">
        <f aca="false">D11*F11</f>
        <v>61691.74</v>
      </c>
    </row>
    <row r="12" customFormat="false" ht="15" hidden="false" customHeight="true" outlineLevel="0" collapsed="false">
      <c r="B12" s="5" t="s">
        <v>19</v>
      </c>
      <c r="C12" s="5" t="s">
        <v>20</v>
      </c>
      <c r="D12" s="6" t="n">
        <f aca="false">Doors_Windows!K13</f>
        <v>174</v>
      </c>
      <c r="E12" s="5" t="s">
        <v>21</v>
      </c>
      <c r="F12" s="7" t="n">
        <f aca="false">Doors_Windows!I2</f>
        <v>220</v>
      </c>
      <c r="G12" s="7" t="n">
        <f aca="false">D12*F12</f>
        <v>38280</v>
      </c>
    </row>
    <row r="13" customFormat="false" ht="15" hidden="false" customHeight="true" outlineLevel="0" collapsed="false">
      <c r="B13" s="5" t="s">
        <v>22</v>
      </c>
      <c r="C13" s="5" t="s">
        <v>20</v>
      </c>
      <c r="D13" s="6" t="n">
        <f aca="false">Doors_Windows!K14</f>
        <v>36</v>
      </c>
      <c r="E13" s="5" t="s">
        <v>21</v>
      </c>
      <c r="F13" s="7" t="n">
        <f aca="false">Doors_Windows!I3</f>
        <v>180</v>
      </c>
      <c r="G13" s="7" t="n">
        <f aca="false">D13*F13</f>
        <v>6480</v>
      </c>
    </row>
    <row r="14" customFormat="false" ht="15" hidden="false" customHeight="true" outlineLevel="0" collapsed="false">
      <c r="B14" s="5" t="s">
        <v>23</v>
      </c>
      <c r="C14" s="5" t="s">
        <v>23</v>
      </c>
      <c r="D14" s="6" t="n">
        <f aca="false">Railings!K10</f>
        <v>118</v>
      </c>
      <c r="E14" s="5" t="s">
        <v>24</v>
      </c>
      <c r="F14" s="7" t="n">
        <f aca="false">Railings!I2</f>
        <v>95</v>
      </c>
      <c r="G14" s="7" t="n">
        <f aca="false">D14*F14</f>
        <v>11210</v>
      </c>
    </row>
    <row r="15" customFormat="false" ht="15" hidden="false" customHeight="true" outlineLevel="0" collapsed="false">
      <c r="B15" s="5" t="s">
        <v>25</v>
      </c>
      <c r="C15" s="5" t="s">
        <v>26</v>
      </c>
      <c r="D15" s="6" t="n">
        <f aca="false">Rooms!K11</f>
        <v>1468.44</v>
      </c>
      <c r="E15" s="5" t="s">
        <v>13</v>
      </c>
      <c r="F15" s="7" t="n">
        <f aca="false">Rooms!I2</f>
        <v>40</v>
      </c>
      <c r="G15" s="7" t="n">
        <f aca="false">D15*F15</f>
        <v>58737.6</v>
      </c>
    </row>
    <row r="16" customFormat="false" ht="15" hidden="false" customHeight="true" outlineLevel="0" collapsed="false">
      <c r="B16" s="8" t="s">
        <v>27</v>
      </c>
      <c r="C16" s="8"/>
      <c r="D16" s="8"/>
      <c r="E16" s="8"/>
      <c r="F16" s="8"/>
      <c r="G16" s="9" t="n">
        <f aca="false">SUM(G7:G15)</f>
        <v>809307.72</v>
      </c>
    </row>
    <row r="18" customFormat="false" ht="15" hidden="false" customHeight="true" outlineLevel="0" collapsed="false">
      <c r="B18" s="10" t="s">
        <v>28</v>
      </c>
    </row>
    <row r="19" customFormat="false" ht="15" hidden="false" customHeight="true" outlineLevel="0" collapsed="false">
      <c r="B19" s="1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5" min="4" style="1" width="14"/>
    <col collapsed="false" customWidth="true" hidden="false" outlineLevel="0" max="9" min="6" style="1" width="16"/>
  </cols>
  <sheetData>
    <row r="2" customFormat="false" ht="19.5" hidden="false" customHeight="true" outlineLevel="0" collapsed="false">
      <c r="B2" s="2" t="s">
        <v>30</v>
      </c>
      <c r="H2" s="11" t="s">
        <v>31</v>
      </c>
      <c r="I2" s="12" t="n">
        <v>180</v>
      </c>
    </row>
    <row r="3" customFormat="false" ht="15" hidden="false" customHeight="true" outlineLevel="0" collapsed="false">
      <c r="B3" s="3" t="s">
        <v>32</v>
      </c>
      <c r="H3" s="11" t="s">
        <v>33</v>
      </c>
      <c r="I3" s="12" t="n">
        <v>25</v>
      </c>
    </row>
    <row r="4" customFormat="false" ht="15" hidden="false" customHeight="true" outlineLevel="0" collapsed="false">
      <c r="H4" s="11" t="s">
        <v>34</v>
      </c>
      <c r="I4" s="12" t="n">
        <v>1.2</v>
      </c>
    </row>
    <row r="6" customFormat="false" ht="15" hidden="false" customHeight="true" outlineLevel="0" collapsed="false">
      <c r="B6" s="4" t="s">
        <v>35</v>
      </c>
      <c r="C6" s="4" t="s">
        <v>3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</row>
    <row r="7" customFormat="false" ht="15" hidden="false" customHeight="true" outlineLevel="0" collapsed="false">
      <c r="B7" s="5" t="s">
        <v>42</v>
      </c>
      <c r="C7" s="5" t="s">
        <v>15</v>
      </c>
      <c r="D7" s="6" t="n">
        <v>694.69</v>
      </c>
      <c r="E7" s="5" t="n">
        <v>487</v>
      </c>
      <c r="F7" s="13" t="n">
        <v>55575.2</v>
      </c>
      <c r="G7" s="7" t="n">
        <f aca="false">D7*$I$2</f>
        <v>125044.2</v>
      </c>
      <c r="H7" s="7" t="n">
        <f aca="false">F7*$I$4</f>
        <v>66690.24</v>
      </c>
      <c r="I7" s="7" t="n">
        <f aca="false">G7+H7</f>
        <v>191734.44</v>
      </c>
    </row>
    <row r="8" customFormat="false" ht="15" hidden="false" customHeight="true" outlineLevel="0" collapsed="false">
      <c r="B8" s="5" t="s">
        <v>43</v>
      </c>
      <c r="C8" s="5" t="s">
        <v>18</v>
      </c>
      <c r="D8" s="6" t="n">
        <v>382.24</v>
      </c>
      <c r="E8" s="5" t="n">
        <v>11</v>
      </c>
      <c r="F8" s="13" t="n">
        <v>38224</v>
      </c>
      <c r="G8" s="7" t="n">
        <f aca="false">D8*$I$2</f>
        <v>68803.2</v>
      </c>
      <c r="H8" s="7" t="n">
        <f aca="false">F8*$I$4</f>
        <v>45868.8</v>
      </c>
      <c r="I8" s="7" t="n">
        <f aca="false">G8+H8</f>
        <v>114672</v>
      </c>
    </row>
    <row r="9" customFormat="false" ht="15" hidden="false" customHeight="true" outlineLevel="0" collapsed="false">
      <c r="B9" s="5" t="s">
        <v>44</v>
      </c>
      <c r="C9" s="5" t="s">
        <v>45</v>
      </c>
      <c r="D9" s="6" t="n">
        <v>97.28</v>
      </c>
      <c r="E9" s="5" t="n">
        <v>218</v>
      </c>
      <c r="F9" s="13" t="n">
        <v>17023.2</v>
      </c>
      <c r="G9" s="7" t="n">
        <f aca="false">D9*$I$2</f>
        <v>17510.4</v>
      </c>
      <c r="H9" s="7" t="n">
        <f aca="false">F9*$I$4</f>
        <v>20427.84</v>
      </c>
      <c r="I9" s="7" t="n">
        <f aca="false">G9+H9</f>
        <v>37938.24</v>
      </c>
    </row>
    <row r="10" customFormat="false" ht="15" hidden="false" customHeight="true" outlineLevel="0" collapsed="false">
      <c r="B10" s="5" t="s">
        <v>46</v>
      </c>
      <c r="C10" s="5" t="s">
        <v>47</v>
      </c>
      <c r="D10" s="6" t="n">
        <v>75.58</v>
      </c>
      <c r="E10" s="5" t="n">
        <v>63</v>
      </c>
      <c r="F10" s="13" t="n">
        <v>11337</v>
      </c>
      <c r="G10" s="7" t="n">
        <f aca="false">D10*$I$2</f>
        <v>13604.4</v>
      </c>
      <c r="H10" s="7" t="n">
        <f aca="false">F10*$I$4</f>
        <v>13604.4</v>
      </c>
      <c r="I10" s="7" t="n">
        <f aca="false">G10+H10</f>
        <v>27208.8</v>
      </c>
    </row>
    <row r="11" customFormat="false" ht="15" hidden="false" customHeight="true" outlineLevel="0" collapsed="false">
      <c r="B11" s="5" t="s">
        <v>44</v>
      </c>
      <c r="C11" s="5" t="s">
        <v>47</v>
      </c>
      <c r="D11" s="6" t="n">
        <v>70.31</v>
      </c>
      <c r="E11" s="5" t="n">
        <v>268</v>
      </c>
      <c r="F11" s="13" t="n">
        <v>10546.5</v>
      </c>
      <c r="G11" s="7" t="n">
        <f aca="false">D11*$I$2</f>
        <v>12655.8</v>
      </c>
      <c r="H11" s="7" t="n">
        <f aca="false">F11*$I$4</f>
        <v>12655.8</v>
      </c>
      <c r="I11" s="7" t="n">
        <f aca="false">G11+H11</f>
        <v>25311.6</v>
      </c>
    </row>
    <row r="12" customFormat="false" ht="15" hidden="false" customHeight="true" outlineLevel="0" collapsed="false">
      <c r="B12" s="5" t="s">
        <v>42</v>
      </c>
      <c r="C12" s="5" t="s">
        <v>18</v>
      </c>
      <c r="D12" s="6" t="n">
        <v>45.77</v>
      </c>
      <c r="E12" s="5" t="n">
        <v>3</v>
      </c>
      <c r="F12" s="13" t="n">
        <v>4577</v>
      </c>
      <c r="G12" s="7" t="n">
        <f aca="false">D12*$I$2</f>
        <v>8238.6</v>
      </c>
      <c r="H12" s="7" t="n">
        <f aca="false">F12*$I$4</f>
        <v>5492.4</v>
      </c>
      <c r="I12" s="7" t="n">
        <f aca="false">G12+H12</f>
        <v>13731</v>
      </c>
    </row>
    <row r="13" customFormat="false" ht="15" hidden="false" customHeight="true" outlineLevel="0" collapsed="false">
      <c r="B13" s="5" t="s">
        <v>43</v>
      </c>
      <c r="C13" s="5" t="s">
        <v>15</v>
      </c>
      <c r="D13" s="6" t="n">
        <v>38.47</v>
      </c>
      <c r="E13" s="5" t="n">
        <v>4</v>
      </c>
      <c r="F13" s="13" t="n">
        <v>3077.6</v>
      </c>
      <c r="G13" s="7" t="n">
        <f aca="false">D13*$I$2</f>
        <v>6924.6</v>
      </c>
      <c r="H13" s="7" t="n">
        <f aca="false">F13*$I$4</f>
        <v>3693.12</v>
      </c>
      <c r="I13" s="7" t="n">
        <f aca="false">G13+H13</f>
        <v>10617.72</v>
      </c>
    </row>
    <row r="14" customFormat="false" ht="15" hidden="false" customHeight="true" outlineLevel="0" collapsed="false">
      <c r="B14" s="5" t="s">
        <v>42</v>
      </c>
      <c r="C14" s="5" t="s">
        <v>47</v>
      </c>
      <c r="D14" s="6" t="n">
        <v>12.98</v>
      </c>
      <c r="E14" s="5" t="n">
        <v>43</v>
      </c>
      <c r="F14" s="13" t="n">
        <v>1947</v>
      </c>
      <c r="G14" s="7" t="n">
        <f aca="false">D14*$I$2</f>
        <v>2336.4</v>
      </c>
      <c r="H14" s="7" t="n">
        <f aca="false">F14*$I$4</f>
        <v>2336.4</v>
      </c>
      <c r="I14" s="7" t="n">
        <f aca="false">G14+H14</f>
        <v>4672.8</v>
      </c>
    </row>
    <row r="15" customFormat="false" ht="15" hidden="false" customHeight="true" outlineLevel="0" collapsed="false">
      <c r="B15" s="5" t="s">
        <v>42</v>
      </c>
      <c r="C15" s="5" t="s">
        <v>45</v>
      </c>
      <c r="D15" s="6" t="n">
        <v>4.09</v>
      </c>
      <c r="E15" s="5" t="n">
        <v>9</v>
      </c>
      <c r="F15" s="13" t="n">
        <v>715.4</v>
      </c>
      <c r="G15" s="7" t="n">
        <f aca="false">D15*$I$2</f>
        <v>736.2</v>
      </c>
      <c r="H15" s="7" t="n">
        <f aca="false">F15*$I$4</f>
        <v>858.48</v>
      </c>
      <c r="I15" s="7" t="n">
        <f aca="false">G15+H15</f>
        <v>1594.68</v>
      </c>
    </row>
    <row r="16" customFormat="false" ht="15" hidden="false" customHeight="true" outlineLevel="0" collapsed="false">
      <c r="B16" s="14" t="s">
        <v>48</v>
      </c>
      <c r="C16" s="14"/>
      <c r="D16" s="15" t="n">
        <f aca="false">SUM(D7:D15)</f>
        <v>1421.41</v>
      </c>
      <c r="E16" s="14"/>
      <c r="F16" s="16" t="n">
        <f aca="false">SUM(F7:F15)</f>
        <v>143022.9</v>
      </c>
      <c r="G16" s="17" t="n">
        <f aca="false">SUM(G7:G15)</f>
        <v>255853.8</v>
      </c>
      <c r="H16" s="17" t="n">
        <f aca="false">SUM(H7:H15)</f>
        <v>171627.48</v>
      </c>
      <c r="I16" s="17" t="n">
        <f aca="false">SUM(I7:I15)</f>
        <v>427481.28</v>
      </c>
      <c r="K16" s="18" t="n">
        <f aca="false">D16</f>
        <v>1421.41</v>
      </c>
    </row>
    <row r="17" customFormat="false" ht="15" hidden="false" customHeight="true" outlineLevel="0" collapsed="false">
      <c r="K17" s="18" t="n">
        <f aca="false">D24</f>
        <v>2287.472</v>
      </c>
    </row>
    <row r="19" customFormat="false" ht="15" hidden="false" customHeight="true" outlineLevel="0" collapsed="false">
      <c r="B19" s="19" t="s">
        <v>49</v>
      </c>
    </row>
    <row r="20" customFormat="false" ht="15" hidden="false" customHeight="true" outlineLevel="0" collapsed="false">
      <c r="B20" s="10" t="s">
        <v>50</v>
      </c>
    </row>
    <row r="22" customFormat="false" ht="15" hidden="false" customHeight="true" outlineLevel="0" collapsed="false">
      <c r="B22" s="5" t="s">
        <v>51</v>
      </c>
      <c r="C22" s="5"/>
      <c r="D22" s="6" t="n">
        <v>1090.08</v>
      </c>
      <c r="E22" s="5"/>
      <c r="F22" s="5"/>
      <c r="G22" s="7" t="n">
        <f aca="false">D22*$I$3</f>
        <v>27252</v>
      </c>
      <c r="H22" s="5"/>
      <c r="I22" s="5"/>
    </row>
    <row r="23" customFormat="false" ht="15" hidden="false" customHeight="true" outlineLevel="0" collapsed="false">
      <c r="B23" s="20" t="s">
        <v>52</v>
      </c>
      <c r="D23" s="21" t="n">
        <v>1197.392</v>
      </c>
      <c r="G23" s="22" t="n">
        <f aca="false">D23*$I$3</f>
        <v>29934.8</v>
      </c>
    </row>
    <row r="24" customFormat="false" ht="15" hidden="false" customHeight="true" outlineLevel="0" collapsed="false">
      <c r="B24" s="23" t="s">
        <v>53</v>
      </c>
      <c r="D24" s="24" t="n">
        <f aca="false">D22+D23</f>
        <v>2287.472</v>
      </c>
      <c r="G24" s="25" t="n">
        <f aca="false">G22+G23</f>
        <v>57186.8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6" min="4" style="1" width="14"/>
    <col collapsed="false" customWidth="true" hidden="false" outlineLevel="0" max="7" min="7" style="1" width="4"/>
    <col collapsed="false" customWidth="true" hidden="false" outlineLevel="0" max="8" min="8" style="1" width="22"/>
    <col collapsed="false" customWidth="true" hidden="false" outlineLevel="0" max="9" min="9" style="1" width="8"/>
  </cols>
  <sheetData>
    <row r="2" customFormat="false" ht="19.5" hidden="false" customHeight="true" outlineLevel="0" collapsed="false">
      <c r="B2" s="2" t="s">
        <v>54</v>
      </c>
      <c r="H2" s="11" t="s">
        <v>55</v>
      </c>
      <c r="I2" s="12" t="n">
        <v>35</v>
      </c>
    </row>
    <row r="3" customFormat="false" ht="15" hidden="false" customHeight="true" outlineLevel="0" collapsed="false">
      <c r="B3" s="3" t="s">
        <v>56</v>
      </c>
      <c r="H3" s="11" t="s">
        <v>57</v>
      </c>
      <c r="I3" s="12" t="n">
        <v>18</v>
      </c>
    </row>
    <row r="6" customFormat="false" ht="15" hidden="false" customHeight="true" outlineLevel="0" collapsed="false">
      <c r="B6" s="4" t="s">
        <v>58</v>
      </c>
      <c r="C6" s="4" t="s">
        <v>37</v>
      </c>
      <c r="D6" s="4" t="s">
        <v>36</v>
      </c>
      <c r="E6" s="4" t="s">
        <v>59</v>
      </c>
      <c r="F6" s="4" t="s">
        <v>60</v>
      </c>
    </row>
    <row r="7" customFormat="false" ht="15" hidden="false" customHeight="true" outlineLevel="0" collapsed="false">
      <c r="B7" s="5" t="s">
        <v>61</v>
      </c>
      <c r="C7" s="5" t="n">
        <v>144</v>
      </c>
      <c r="D7" s="6" t="n">
        <v>266.57</v>
      </c>
      <c r="E7" s="6" t="n">
        <v>1571.25</v>
      </c>
      <c r="F7" s="6" t="n">
        <v>539.59</v>
      </c>
    </row>
    <row r="8" customFormat="false" ht="15" hidden="false" customHeight="true" outlineLevel="0" collapsed="false">
      <c r="B8" s="5" t="s">
        <v>62</v>
      </c>
      <c r="C8" s="5" t="n">
        <v>45</v>
      </c>
      <c r="D8" s="6" t="n">
        <v>54.37</v>
      </c>
      <c r="E8" s="6" t="n">
        <v>350.46</v>
      </c>
      <c r="F8" s="6" t="n">
        <v>172.5</v>
      </c>
    </row>
    <row r="9" customFormat="false" ht="15" hidden="false" customHeight="true" outlineLevel="0" collapsed="false">
      <c r="B9" s="5" t="s">
        <v>63</v>
      </c>
      <c r="C9" s="5" t="n">
        <v>87</v>
      </c>
      <c r="D9" s="6" t="n">
        <v>137.99</v>
      </c>
      <c r="E9" s="6" t="n">
        <v>799.91</v>
      </c>
      <c r="F9" s="6" t="n">
        <v>188.36</v>
      </c>
    </row>
    <row r="10" customFormat="false" ht="15" hidden="false" customHeight="true" outlineLevel="0" collapsed="false">
      <c r="B10" s="5" t="s">
        <v>64</v>
      </c>
      <c r="C10" s="5" t="n">
        <v>62</v>
      </c>
      <c r="D10" s="6" t="n">
        <v>49.93</v>
      </c>
      <c r="E10" s="6" t="n">
        <v>336.54</v>
      </c>
      <c r="F10" s="6" t="n">
        <v>157.58</v>
      </c>
    </row>
    <row r="11" customFormat="false" ht="15" hidden="false" customHeight="true" outlineLevel="0" collapsed="false">
      <c r="B11" s="5" t="s">
        <v>65</v>
      </c>
      <c r="C11" s="5" t="n">
        <v>62</v>
      </c>
      <c r="D11" s="6" t="n">
        <v>49.93</v>
      </c>
      <c r="E11" s="6" t="n">
        <v>336.54</v>
      </c>
      <c r="F11" s="6" t="n">
        <v>157.58</v>
      </c>
    </row>
    <row r="12" customFormat="false" ht="15" hidden="false" customHeight="true" outlineLevel="0" collapsed="false">
      <c r="B12" s="5" t="s">
        <v>66</v>
      </c>
      <c r="C12" s="5" t="n">
        <v>62</v>
      </c>
      <c r="D12" s="6" t="n">
        <v>50.71</v>
      </c>
      <c r="E12" s="6" t="n">
        <v>345.21</v>
      </c>
      <c r="F12" s="6" t="n">
        <v>157.68</v>
      </c>
    </row>
    <row r="13" customFormat="false" ht="15" hidden="false" customHeight="true" outlineLevel="0" collapsed="false">
      <c r="B13" s="5" t="s">
        <v>67</v>
      </c>
      <c r="C13" s="5" t="n">
        <v>60</v>
      </c>
      <c r="D13" s="6" t="n">
        <v>49.18</v>
      </c>
      <c r="E13" s="6" t="n">
        <v>330.6</v>
      </c>
      <c r="F13" s="6" t="n">
        <v>154.78</v>
      </c>
    </row>
    <row r="14" customFormat="false" ht="15" hidden="false" customHeight="true" outlineLevel="0" collapsed="false">
      <c r="B14" s="5" t="s">
        <v>68</v>
      </c>
      <c r="C14" s="5" t="n">
        <v>53</v>
      </c>
      <c r="D14" s="6" t="n">
        <v>42.8</v>
      </c>
      <c r="E14" s="6" t="n">
        <v>276.21</v>
      </c>
      <c r="F14" s="6" t="n">
        <v>144.36</v>
      </c>
    </row>
    <row r="15" customFormat="false" ht="15" hidden="false" customHeight="true" outlineLevel="0" collapsed="false">
      <c r="B15" s="5" t="s">
        <v>69</v>
      </c>
      <c r="C15" s="5" t="n">
        <v>18</v>
      </c>
      <c r="D15" s="6" t="n">
        <v>31.68</v>
      </c>
      <c r="E15" s="6" t="n">
        <v>158.46</v>
      </c>
      <c r="F15" s="6" t="n">
        <v>146.7</v>
      </c>
    </row>
    <row r="16" customFormat="false" ht="15" hidden="false" customHeight="true" outlineLevel="0" collapsed="false">
      <c r="B16" s="14" t="s">
        <v>70</v>
      </c>
      <c r="C16" s="14" t="n">
        <f aca="false">SUM(C7:C15)</f>
        <v>593</v>
      </c>
      <c r="D16" s="15" t="n">
        <f aca="false">SUM(D7:D15)</f>
        <v>733.16</v>
      </c>
      <c r="E16" s="15" t="n">
        <f aca="false">SUM(E7:E15)</f>
        <v>4505.18</v>
      </c>
      <c r="F16" s="15" t="n">
        <f aca="false">SUM(F7:F15)</f>
        <v>1819.13</v>
      </c>
      <c r="K16" s="18" t="n">
        <f aca="false">E16</f>
        <v>4505.18</v>
      </c>
    </row>
    <row r="17" customFormat="false" ht="15" hidden="false" customHeight="true" outlineLevel="0" collapsed="false">
      <c r="K17" s="1" t="n">
        <f aca="false">E16*2</f>
        <v>9010.36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6" min="5" style="1" width="14"/>
  </cols>
  <sheetData>
    <row r="2" customFormat="false" ht="19.5" hidden="false" customHeight="true" outlineLevel="0" collapsed="false">
      <c r="B2" s="2" t="s">
        <v>71</v>
      </c>
      <c r="H2" s="11" t="s">
        <v>72</v>
      </c>
      <c r="I2" s="12" t="n">
        <v>22</v>
      </c>
    </row>
    <row r="3" customFormat="false" ht="15" hidden="false" customHeight="true" outlineLevel="0" collapsed="false">
      <c r="B3" s="3" t="s">
        <v>73</v>
      </c>
    </row>
    <row r="6" customFormat="false" ht="15" hidden="false" customHeight="true" outlineLevel="0" collapsed="false">
      <c r="B6" s="4" t="s">
        <v>74</v>
      </c>
      <c r="C6" s="4" t="s">
        <v>58</v>
      </c>
      <c r="D6" s="4" t="s">
        <v>75</v>
      </c>
      <c r="E6" s="4" t="s">
        <v>37</v>
      </c>
      <c r="F6" s="4" t="s">
        <v>76</v>
      </c>
    </row>
    <row r="7" customFormat="false" ht="15" hidden="false" customHeight="true" outlineLevel="0" collapsed="false">
      <c r="B7" s="5" t="s">
        <v>77</v>
      </c>
      <c r="C7" s="5" t="s">
        <v>61</v>
      </c>
      <c r="D7" s="6" t="n">
        <v>785.07</v>
      </c>
      <c r="E7" s="5" t="n">
        <v>2</v>
      </c>
      <c r="F7" s="7" t="n">
        <f aca="false">D7*$I$2</f>
        <v>17271.54</v>
      </c>
    </row>
    <row r="8" customFormat="false" ht="15" hidden="false" customHeight="true" outlineLevel="0" collapsed="false">
      <c r="B8" s="5" t="s">
        <v>77</v>
      </c>
      <c r="C8" s="5" t="s">
        <v>63</v>
      </c>
      <c r="D8" s="6" t="n">
        <v>258.9</v>
      </c>
      <c r="E8" s="5" t="n">
        <v>1</v>
      </c>
      <c r="F8" s="7" t="n">
        <f aca="false">D8*$I$2</f>
        <v>5695.8</v>
      </c>
    </row>
    <row r="9" customFormat="false" ht="15" hidden="false" customHeight="true" outlineLevel="0" collapsed="false">
      <c r="B9" s="5" t="s">
        <v>77</v>
      </c>
      <c r="C9" s="5" t="s">
        <v>68</v>
      </c>
      <c r="D9" s="6" t="n">
        <v>254.76</v>
      </c>
      <c r="E9" s="5" t="n">
        <v>1</v>
      </c>
      <c r="F9" s="7" t="n">
        <f aca="false">D9*$I$2</f>
        <v>5604.72</v>
      </c>
    </row>
    <row r="10" customFormat="false" ht="15" hidden="false" customHeight="true" outlineLevel="0" collapsed="false">
      <c r="B10" s="5" t="s">
        <v>77</v>
      </c>
      <c r="C10" s="5" t="s">
        <v>64</v>
      </c>
      <c r="D10" s="6" t="n">
        <v>248.1</v>
      </c>
      <c r="E10" s="5" t="n">
        <v>1</v>
      </c>
      <c r="F10" s="7" t="n">
        <f aca="false">D10*$I$2</f>
        <v>5458.2</v>
      </c>
    </row>
    <row r="11" customFormat="false" ht="15" hidden="false" customHeight="true" outlineLevel="0" collapsed="false">
      <c r="B11" s="5" t="s">
        <v>77</v>
      </c>
      <c r="C11" s="5" t="s">
        <v>65</v>
      </c>
      <c r="D11" s="6" t="n">
        <v>248.1</v>
      </c>
      <c r="E11" s="5" t="n">
        <v>1</v>
      </c>
      <c r="F11" s="7" t="n">
        <f aca="false">D11*$I$2</f>
        <v>5458.2</v>
      </c>
    </row>
    <row r="12" customFormat="false" ht="15" hidden="false" customHeight="true" outlineLevel="0" collapsed="false">
      <c r="B12" s="5" t="s">
        <v>77</v>
      </c>
      <c r="C12" s="5" t="s">
        <v>66</v>
      </c>
      <c r="D12" s="6" t="n">
        <v>248.1</v>
      </c>
      <c r="E12" s="5" t="n">
        <v>1</v>
      </c>
      <c r="F12" s="7" t="n">
        <f aca="false">D12*$I$2</f>
        <v>5458.2</v>
      </c>
    </row>
    <row r="13" customFormat="false" ht="15" hidden="false" customHeight="true" outlineLevel="0" collapsed="false">
      <c r="B13" s="5" t="s">
        <v>77</v>
      </c>
      <c r="C13" s="5" t="s">
        <v>67</v>
      </c>
      <c r="D13" s="6" t="n">
        <v>248.1</v>
      </c>
      <c r="E13" s="5" t="n">
        <v>1</v>
      </c>
      <c r="F13" s="7" t="n">
        <f aca="false">D13*$I$2</f>
        <v>5458.2</v>
      </c>
    </row>
    <row r="14" customFormat="false" ht="15" hidden="false" customHeight="true" outlineLevel="0" collapsed="false">
      <c r="B14" s="5" t="s">
        <v>77</v>
      </c>
      <c r="C14" s="5" t="s">
        <v>62</v>
      </c>
      <c r="D14" s="6" t="n">
        <v>231.26</v>
      </c>
      <c r="E14" s="5" t="n">
        <v>1</v>
      </c>
      <c r="F14" s="7" t="n">
        <f aca="false">D14*$I$2</f>
        <v>5087.72</v>
      </c>
    </row>
    <row r="15" customFormat="false" ht="15" hidden="false" customHeight="true" outlineLevel="0" collapsed="false">
      <c r="B15" s="5" t="s">
        <v>78</v>
      </c>
      <c r="C15" s="5" t="s">
        <v>79</v>
      </c>
      <c r="D15" s="6" t="n">
        <v>222.08</v>
      </c>
      <c r="E15" s="5" t="n">
        <v>1</v>
      </c>
      <c r="F15" s="7" t="n">
        <f aca="false">D15*$I$2</f>
        <v>4885.76</v>
      </c>
    </row>
    <row r="16" customFormat="false" ht="15" hidden="false" customHeight="true" outlineLevel="0" collapsed="false">
      <c r="B16" s="5" t="s">
        <v>69</v>
      </c>
      <c r="C16" s="5" t="s">
        <v>69</v>
      </c>
      <c r="D16" s="6" t="n">
        <v>31.71</v>
      </c>
      <c r="E16" s="5" t="n">
        <v>1</v>
      </c>
      <c r="F16" s="7" t="n">
        <f aca="false">D16*$I$2</f>
        <v>697.62</v>
      </c>
      <c r="K16" s="18" t="n">
        <f aca="false">D20</f>
        <v>2804.17</v>
      </c>
    </row>
    <row r="17" customFormat="false" ht="15" hidden="false" customHeight="true" outlineLevel="0" collapsed="false">
      <c r="B17" s="5" t="s">
        <v>77</v>
      </c>
      <c r="C17" s="5" t="s">
        <v>69</v>
      </c>
      <c r="D17" s="6" t="n">
        <v>10.25</v>
      </c>
      <c r="E17" s="5" t="n">
        <v>1</v>
      </c>
      <c r="F17" s="7" t="n">
        <f aca="false">D17*$I$2</f>
        <v>225.5</v>
      </c>
    </row>
    <row r="18" customFormat="false" ht="15" hidden="false" customHeight="true" outlineLevel="0" collapsed="false">
      <c r="B18" s="5" t="s">
        <v>69</v>
      </c>
      <c r="C18" s="5" t="s">
        <v>62</v>
      </c>
      <c r="D18" s="6" t="n">
        <v>9.84</v>
      </c>
      <c r="E18" s="5" t="n">
        <v>1</v>
      </c>
      <c r="F18" s="7" t="n">
        <f aca="false">D18*$I$2</f>
        <v>216.48</v>
      </c>
    </row>
    <row r="19" customFormat="false" ht="15" hidden="false" customHeight="true" outlineLevel="0" collapsed="false">
      <c r="B19" s="5" t="s">
        <v>80</v>
      </c>
      <c r="C19" s="5" t="s">
        <v>63</v>
      </c>
      <c r="D19" s="6" t="n">
        <v>7.9</v>
      </c>
      <c r="E19" s="5" t="n">
        <v>1</v>
      </c>
      <c r="F19" s="7" t="n">
        <f aca="false">D19*$I$2</f>
        <v>173.8</v>
      </c>
    </row>
    <row r="20" customFormat="false" ht="15" hidden="false" customHeight="true" outlineLevel="0" collapsed="false">
      <c r="B20" s="14" t="s">
        <v>70</v>
      </c>
      <c r="C20" s="14"/>
      <c r="D20" s="15" t="n">
        <f aca="false">SUM(D7:D19)</f>
        <v>2804.17</v>
      </c>
      <c r="E20" s="14" t="n">
        <f aca="false">SUM(E7:E19)</f>
        <v>14</v>
      </c>
      <c r="F20" s="17" t="n">
        <f aca="false">SUM(F7:F19)</f>
        <v>61691.74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4"/>
  </cols>
  <sheetData>
    <row r="2" customFormat="false" ht="19.5" hidden="false" customHeight="true" outlineLevel="0" collapsed="false">
      <c r="B2" s="2" t="s">
        <v>81</v>
      </c>
      <c r="H2" s="11" t="s">
        <v>82</v>
      </c>
      <c r="I2" s="12" t="n">
        <v>220</v>
      </c>
    </row>
    <row r="3" customFormat="false" ht="15" hidden="false" customHeight="true" outlineLevel="0" collapsed="false">
      <c r="B3" s="3" t="s">
        <v>83</v>
      </c>
      <c r="H3" s="11" t="s">
        <v>84</v>
      </c>
      <c r="I3" s="12" t="n">
        <v>180</v>
      </c>
    </row>
    <row r="5" customFormat="false" ht="15" hidden="false" customHeight="true" outlineLevel="0" collapsed="false">
      <c r="B5" s="26" t="s">
        <v>85</v>
      </c>
    </row>
    <row r="6" customFormat="false" ht="15" hidden="false" customHeight="true" outlineLevel="0" collapsed="false">
      <c r="B6" s="4" t="s">
        <v>74</v>
      </c>
      <c r="C6" s="4" t="s">
        <v>86</v>
      </c>
      <c r="D6" s="4" t="s">
        <v>7</v>
      </c>
      <c r="E6" s="4" t="s">
        <v>76</v>
      </c>
    </row>
    <row r="7" customFormat="false" ht="15" hidden="false" customHeight="true" outlineLevel="0" collapsed="false">
      <c r="B7" s="5" t="s">
        <v>87</v>
      </c>
      <c r="C7" s="5" t="n">
        <v>59</v>
      </c>
      <c r="D7" s="7" t="n">
        <f aca="false">$I$2</f>
        <v>220</v>
      </c>
      <c r="E7" s="7" t="n">
        <f aca="false">C7*D7</f>
        <v>12980</v>
      </c>
    </row>
    <row r="8" customFormat="false" ht="15" hidden="false" customHeight="true" outlineLevel="0" collapsed="false">
      <c r="B8" s="5" t="s">
        <v>88</v>
      </c>
      <c r="C8" s="5" t="n">
        <v>39</v>
      </c>
      <c r="D8" s="7" t="n">
        <f aca="false">$I$2</f>
        <v>220</v>
      </c>
      <c r="E8" s="7" t="n">
        <f aca="false">C8*D8</f>
        <v>8580</v>
      </c>
    </row>
    <row r="9" customFormat="false" ht="15" hidden="false" customHeight="true" outlineLevel="0" collapsed="false">
      <c r="B9" s="5" t="s">
        <v>89</v>
      </c>
      <c r="C9" s="5" t="n">
        <v>34</v>
      </c>
      <c r="D9" s="7" t="n">
        <f aca="false">$I$2</f>
        <v>220</v>
      </c>
      <c r="E9" s="7" t="n">
        <f aca="false">C9*D9</f>
        <v>7480</v>
      </c>
    </row>
    <row r="10" customFormat="false" ht="15" hidden="false" customHeight="true" outlineLevel="0" collapsed="false">
      <c r="B10" s="5" t="s">
        <v>90</v>
      </c>
      <c r="C10" s="5" t="n">
        <v>22</v>
      </c>
      <c r="D10" s="7" t="n">
        <f aca="false">$I$2</f>
        <v>220</v>
      </c>
      <c r="E10" s="7" t="n">
        <f aca="false">C10*D10</f>
        <v>4840</v>
      </c>
    </row>
    <row r="11" customFormat="false" ht="15" hidden="false" customHeight="true" outlineLevel="0" collapsed="false">
      <c r="B11" s="5" t="s">
        <v>91</v>
      </c>
      <c r="C11" s="5" t="n">
        <v>10</v>
      </c>
      <c r="D11" s="7" t="n">
        <f aca="false">$I$2</f>
        <v>220</v>
      </c>
      <c r="E11" s="7" t="n">
        <f aca="false">C11*D11</f>
        <v>2200</v>
      </c>
    </row>
    <row r="12" customFormat="false" ht="15" hidden="false" customHeight="true" outlineLevel="0" collapsed="false">
      <c r="B12" s="5" t="s">
        <v>92</v>
      </c>
      <c r="C12" s="5" t="n">
        <v>5</v>
      </c>
      <c r="D12" s="7" t="n">
        <f aca="false">$I$2</f>
        <v>220</v>
      </c>
      <c r="E12" s="7" t="n">
        <f aca="false">C12*D12</f>
        <v>1100</v>
      </c>
    </row>
    <row r="13" customFormat="false" ht="15" hidden="false" customHeight="true" outlineLevel="0" collapsed="false">
      <c r="B13" s="5" t="s">
        <v>93</v>
      </c>
      <c r="C13" s="5" t="n">
        <v>3</v>
      </c>
      <c r="D13" s="7" t="n">
        <f aca="false">$I$2</f>
        <v>220</v>
      </c>
      <c r="E13" s="7" t="n">
        <f aca="false">C13*D13</f>
        <v>660</v>
      </c>
      <c r="K13" s="1" t="n">
        <f aca="false">C15</f>
        <v>174</v>
      </c>
    </row>
    <row r="14" customFormat="false" ht="15" hidden="false" customHeight="true" outlineLevel="0" collapsed="false">
      <c r="B14" s="5" t="s">
        <v>94</v>
      </c>
      <c r="C14" s="5" t="n">
        <v>2</v>
      </c>
      <c r="D14" s="7" t="n">
        <f aca="false">$I$2</f>
        <v>220</v>
      </c>
      <c r="E14" s="7" t="n">
        <f aca="false">C14*D14</f>
        <v>440</v>
      </c>
      <c r="K14" s="1" t="n">
        <f aca="false">C20</f>
        <v>36</v>
      </c>
    </row>
    <row r="15" customFormat="false" ht="15" hidden="false" customHeight="true" outlineLevel="0" collapsed="false">
      <c r="B15" s="14" t="s">
        <v>95</v>
      </c>
      <c r="C15" s="14" t="n">
        <f aca="false">SUM(C7:C14)</f>
        <v>174</v>
      </c>
      <c r="D15" s="14"/>
      <c r="E15" s="17" t="n">
        <f aca="false">SUM(E7:E14)</f>
        <v>38280</v>
      </c>
    </row>
    <row r="17" customFormat="false" ht="15" hidden="false" customHeight="true" outlineLevel="0" collapsed="false">
      <c r="B17" s="26" t="s">
        <v>96</v>
      </c>
    </row>
    <row r="18" customFormat="false" ht="15" hidden="false" customHeight="true" outlineLevel="0" collapsed="false">
      <c r="B18" s="4" t="s">
        <v>74</v>
      </c>
      <c r="C18" s="4" t="s">
        <v>86</v>
      </c>
      <c r="D18" s="4" t="s">
        <v>7</v>
      </c>
      <c r="E18" s="4" t="s">
        <v>76</v>
      </c>
    </row>
    <row r="19" customFormat="false" ht="15" hidden="false" customHeight="true" outlineLevel="0" collapsed="false">
      <c r="B19" s="5" t="s">
        <v>97</v>
      </c>
      <c r="C19" s="5" t="n">
        <v>36</v>
      </c>
      <c r="D19" s="7" t="n">
        <f aca="false">$I$3</f>
        <v>180</v>
      </c>
      <c r="E19" s="7" t="n">
        <f aca="false">C19*D19</f>
        <v>6480</v>
      </c>
    </row>
    <row r="20" customFormat="false" ht="15" hidden="false" customHeight="true" outlineLevel="0" collapsed="false">
      <c r="B20" s="14" t="s">
        <v>98</v>
      </c>
      <c r="C20" s="14" t="n">
        <f aca="false">SUM(C19:C19)</f>
        <v>36</v>
      </c>
      <c r="D20" s="14"/>
      <c r="E20" s="17" t="n">
        <f aca="false">SUM(E19:E19)</f>
        <v>6480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6" min="5" style="1" width="14"/>
  </cols>
  <sheetData>
    <row r="2" customFormat="false" ht="19.5" hidden="false" customHeight="true" outlineLevel="0" collapsed="false">
      <c r="B2" s="2" t="s">
        <v>99</v>
      </c>
      <c r="H2" s="11" t="s">
        <v>100</v>
      </c>
      <c r="I2" s="12" t="n">
        <v>95</v>
      </c>
    </row>
    <row r="3" customFormat="false" ht="15" hidden="false" customHeight="true" outlineLevel="0" collapsed="false">
      <c r="B3" s="3" t="s">
        <v>101</v>
      </c>
    </row>
    <row r="6" customFormat="false" ht="15" hidden="false" customHeight="true" outlineLevel="0" collapsed="false">
      <c r="B6" s="4" t="s">
        <v>74</v>
      </c>
      <c r="C6" s="4" t="s">
        <v>58</v>
      </c>
      <c r="D6" s="4" t="s">
        <v>102</v>
      </c>
      <c r="E6" s="4" t="s">
        <v>37</v>
      </c>
      <c r="F6" s="4" t="s">
        <v>76</v>
      </c>
    </row>
    <row r="7" customFormat="false" ht="15" hidden="false" customHeight="true" outlineLevel="0" collapsed="false">
      <c r="B7" s="5" t="s">
        <v>103</v>
      </c>
      <c r="C7" s="5" t="s">
        <v>68</v>
      </c>
      <c r="D7" s="6" t="n">
        <v>34.31</v>
      </c>
      <c r="E7" s="5" t="n">
        <v>5</v>
      </c>
      <c r="F7" s="7" t="n">
        <f aca="false">D7*$I$2</f>
        <v>3259.45</v>
      </c>
    </row>
    <row r="8" customFormat="false" ht="15" hidden="false" customHeight="true" outlineLevel="0" collapsed="false">
      <c r="B8" s="5" t="s">
        <v>104</v>
      </c>
      <c r="C8" s="5" t="s">
        <v>63</v>
      </c>
      <c r="D8" s="6" t="n">
        <v>17.2</v>
      </c>
      <c r="E8" s="5" t="n">
        <v>7</v>
      </c>
      <c r="F8" s="7" t="n">
        <f aca="false">D8*$I$2</f>
        <v>1634</v>
      </c>
    </row>
    <row r="9" customFormat="false" ht="15" hidden="false" customHeight="true" outlineLevel="0" collapsed="false">
      <c r="B9" s="5" t="s">
        <v>104</v>
      </c>
      <c r="C9" s="5" t="s">
        <v>64</v>
      </c>
      <c r="D9" s="6" t="n">
        <v>17.2</v>
      </c>
      <c r="E9" s="5" t="n">
        <v>7</v>
      </c>
      <c r="F9" s="7" t="n">
        <f aca="false">D9*$I$2</f>
        <v>1634</v>
      </c>
    </row>
    <row r="10" customFormat="false" ht="15" hidden="false" customHeight="true" outlineLevel="0" collapsed="false">
      <c r="B10" s="5" t="s">
        <v>104</v>
      </c>
      <c r="C10" s="5" t="s">
        <v>65</v>
      </c>
      <c r="D10" s="6" t="n">
        <v>17.2</v>
      </c>
      <c r="E10" s="5" t="n">
        <v>7</v>
      </c>
      <c r="F10" s="7" t="n">
        <f aca="false">D10*$I$2</f>
        <v>1634</v>
      </c>
      <c r="K10" s="18" t="n">
        <f aca="false">D13</f>
        <v>118</v>
      </c>
    </row>
    <row r="11" customFormat="false" ht="15" hidden="false" customHeight="true" outlineLevel="0" collapsed="false">
      <c r="B11" s="5" t="s">
        <v>104</v>
      </c>
      <c r="C11" s="5" t="s">
        <v>66</v>
      </c>
      <c r="D11" s="6" t="n">
        <v>17.2</v>
      </c>
      <c r="E11" s="5" t="n">
        <v>7</v>
      </c>
      <c r="F11" s="7" t="n">
        <f aca="false">D11*$I$2</f>
        <v>1634</v>
      </c>
    </row>
    <row r="12" customFormat="false" ht="15" hidden="false" customHeight="true" outlineLevel="0" collapsed="false">
      <c r="B12" s="5" t="s">
        <v>104</v>
      </c>
      <c r="C12" s="5" t="s">
        <v>105</v>
      </c>
      <c r="D12" s="6" t="n">
        <v>14.89</v>
      </c>
      <c r="E12" s="5" t="n">
        <v>3</v>
      </c>
      <c r="F12" s="7" t="n">
        <f aca="false">D12*$I$2</f>
        <v>1414.55</v>
      </c>
    </row>
    <row r="13" customFormat="false" ht="15" hidden="false" customHeight="true" outlineLevel="0" collapsed="false">
      <c r="B13" s="14" t="s">
        <v>70</v>
      </c>
      <c r="C13" s="14"/>
      <c r="D13" s="15" t="n">
        <f aca="false">SUM(D7:D12)</f>
        <v>118</v>
      </c>
      <c r="E13" s="14" t="n">
        <f aca="false">SUM(E7:E12)</f>
        <v>36</v>
      </c>
      <c r="F13" s="17" t="n">
        <f aca="false">SUM(F7:F12)</f>
        <v>11210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</cols>
  <sheetData>
    <row r="2" customFormat="false" ht="19.5" hidden="false" customHeight="true" outlineLevel="0" collapsed="false">
      <c r="B2" s="2" t="s">
        <v>106</v>
      </c>
      <c r="H2" s="11" t="s">
        <v>107</v>
      </c>
      <c r="I2" s="12" t="n">
        <v>40</v>
      </c>
    </row>
    <row r="3" customFormat="false" ht="15" hidden="false" customHeight="true" outlineLevel="0" collapsed="false">
      <c r="B3" s="3" t="s">
        <v>108</v>
      </c>
    </row>
    <row r="6" customFormat="false" ht="15" hidden="false" customHeight="true" outlineLevel="0" collapsed="false">
      <c r="B6" s="4" t="s">
        <v>109</v>
      </c>
      <c r="C6" s="4" t="s">
        <v>110</v>
      </c>
      <c r="D6" s="4" t="s">
        <v>58</v>
      </c>
      <c r="E6" s="4" t="s">
        <v>59</v>
      </c>
      <c r="F6" s="4" t="s">
        <v>111</v>
      </c>
      <c r="G6" s="4" t="s">
        <v>36</v>
      </c>
    </row>
    <row r="7" customFormat="false" ht="15" hidden="false" customHeight="true" outlineLevel="0" collapsed="false">
      <c r="B7" s="5" t="s">
        <v>112</v>
      </c>
      <c r="C7" s="5" t="n">
        <v>58</v>
      </c>
      <c r="D7" s="5" t="s">
        <v>61</v>
      </c>
      <c r="E7" s="6" t="n">
        <v>101.98</v>
      </c>
      <c r="F7" s="6" t="n">
        <v>102.6</v>
      </c>
      <c r="G7" s="6" t="n">
        <v>290.65</v>
      </c>
    </row>
    <row r="8" customFormat="false" ht="15" hidden="false" customHeight="true" outlineLevel="0" collapsed="false">
      <c r="B8" s="5" t="s">
        <v>113</v>
      </c>
      <c r="C8" s="5" t="n">
        <v>41</v>
      </c>
      <c r="D8" s="5" t="s">
        <v>61</v>
      </c>
      <c r="E8" s="6" t="n">
        <v>98.47</v>
      </c>
      <c r="F8" s="6" t="n">
        <v>48.8</v>
      </c>
      <c r="G8" s="6" t="n">
        <v>374.19</v>
      </c>
    </row>
    <row r="9" customFormat="false" ht="15" hidden="false" customHeight="true" outlineLevel="0" collapsed="false">
      <c r="B9" s="5" t="s">
        <v>114</v>
      </c>
      <c r="C9" s="5" t="n">
        <v>56</v>
      </c>
      <c r="D9" s="5" t="s">
        <v>61</v>
      </c>
      <c r="E9" s="6" t="n">
        <v>61.37</v>
      </c>
      <c r="F9" s="6" t="n">
        <v>56.56</v>
      </c>
      <c r="G9" s="6" t="n">
        <v>174</v>
      </c>
    </row>
    <row r="10" customFormat="false" ht="15" hidden="false" customHeight="true" outlineLevel="0" collapsed="false">
      <c r="B10" s="5" t="s">
        <v>115</v>
      </c>
      <c r="C10" s="5" t="n">
        <v>51</v>
      </c>
      <c r="D10" s="5" t="s">
        <v>61</v>
      </c>
      <c r="E10" s="6" t="n">
        <v>60.72</v>
      </c>
      <c r="F10" s="6" t="n">
        <v>33.33</v>
      </c>
      <c r="G10" s="6" t="n">
        <v>233.77</v>
      </c>
    </row>
    <row r="11" customFormat="false" ht="15" hidden="false" customHeight="true" outlineLevel="0" collapsed="false">
      <c r="B11" s="5" t="s">
        <v>116</v>
      </c>
      <c r="C11" s="5" t="n">
        <v>99</v>
      </c>
      <c r="D11" s="5" t="s">
        <v>61</v>
      </c>
      <c r="E11" s="6" t="n">
        <v>48.96</v>
      </c>
      <c r="F11" s="6" t="n">
        <v>29.4</v>
      </c>
      <c r="G11" s="6" t="n">
        <v>139.54</v>
      </c>
      <c r="K11" s="18" t="n">
        <f aca="false">E74</f>
        <v>1468.44</v>
      </c>
    </row>
    <row r="12" customFormat="false" ht="15" hidden="false" customHeight="true" outlineLevel="0" collapsed="false">
      <c r="B12" s="5" t="s">
        <v>117</v>
      </c>
      <c r="C12" s="5" t="n">
        <v>50</v>
      </c>
      <c r="D12" s="5" t="s">
        <v>61</v>
      </c>
      <c r="E12" s="6" t="n">
        <v>46.71</v>
      </c>
      <c r="F12" s="6" t="n">
        <v>27.47</v>
      </c>
      <c r="G12" s="6" t="n">
        <v>179.83</v>
      </c>
    </row>
    <row r="13" customFormat="false" ht="15" hidden="false" customHeight="true" outlineLevel="0" collapsed="false">
      <c r="B13" s="5" t="s">
        <v>118</v>
      </c>
      <c r="C13" s="5" t="n">
        <v>40</v>
      </c>
      <c r="D13" s="5" t="s">
        <v>61</v>
      </c>
      <c r="E13" s="6" t="n">
        <v>44.26</v>
      </c>
      <c r="F13" s="6" t="n">
        <v>31</v>
      </c>
      <c r="G13" s="6" t="n">
        <v>154.91</v>
      </c>
    </row>
    <row r="14" customFormat="false" ht="15" hidden="false" customHeight="true" outlineLevel="0" collapsed="false">
      <c r="B14" s="5" t="s">
        <v>119</v>
      </c>
      <c r="C14" s="5" t="n">
        <v>43</v>
      </c>
      <c r="D14" s="5" t="s">
        <v>61</v>
      </c>
      <c r="E14" s="6" t="n">
        <v>36.84</v>
      </c>
      <c r="F14" s="6" t="n">
        <v>24.4</v>
      </c>
      <c r="G14" s="6" t="n">
        <v>99.47</v>
      </c>
    </row>
    <row r="15" customFormat="false" ht="15" hidden="false" customHeight="true" outlineLevel="0" collapsed="false">
      <c r="B15" s="5" t="s">
        <v>120</v>
      </c>
      <c r="C15" s="5" t="n">
        <v>39</v>
      </c>
      <c r="D15" s="5" t="s">
        <v>61</v>
      </c>
      <c r="E15" s="6" t="n">
        <v>35.87</v>
      </c>
      <c r="F15" s="6" t="n">
        <v>33.8</v>
      </c>
      <c r="G15" s="6" t="n">
        <v>136.31</v>
      </c>
    </row>
    <row r="16" customFormat="false" ht="15" hidden="false" customHeight="true" outlineLevel="0" collapsed="false">
      <c r="B16" s="5" t="s">
        <v>121</v>
      </c>
      <c r="C16" s="5" t="n">
        <v>42</v>
      </c>
      <c r="D16" s="5" t="s">
        <v>61</v>
      </c>
      <c r="E16" s="6" t="n">
        <v>34.95</v>
      </c>
      <c r="F16" s="6" t="n">
        <v>41.52</v>
      </c>
      <c r="G16" s="6" t="n">
        <v>132.81</v>
      </c>
    </row>
    <row r="17" customFormat="false" ht="15" hidden="false" customHeight="true" outlineLevel="0" collapsed="false">
      <c r="B17" s="5" t="s">
        <v>122</v>
      </c>
      <c r="C17" s="5" t="n">
        <v>61</v>
      </c>
      <c r="D17" s="5" t="s">
        <v>61</v>
      </c>
      <c r="E17" s="6" t="n">
        <v>31.1</v>
      </c>
      <c r="F17" s="6" t="n">
        <v>25.96</v>
      </c>
      <c r="G17" s="6" t="n">
        <v>83.98</v>
      </c>
    </row>
    <row r="18" customFormat="false" ht="15" hidden="false" customHeight="true" outlineLevel="0" collapsed="false">
      <c r="B18" s="5" t="s">
        <v>118</v>
      </c>
      <c r="C18" s="5" t="n">
        <v>62</v>
      </c>
      <c r="D18" s="5" t="s">
        <v>61</v>
      </c>
      <c r="E18" s="6" t="n">
        <v>24.23</v>
      </c>
      <c r="F18" s="6" t="n">
        <v>23.84</v>
      </c>
      <c r="G18" s="6" t="n">
        <v>65.43</v>
      </c>
    </row>
    <row r="19" customFormat="false" ht="15" hidden="false" customHeight="true" outlineLevel="0" collapsed="false">
      <c r="B19" s="5" t="s">
        <v>123</v>
      </c>
      <c r="C19" s="5" t="n">
        <v>59</v>
      </c>
      <c r="D19" s="5" t="s">
        <v>61</v>
      </c>
      <c r="E19" s="6" t="n">
        <v>17.74</v>
      </c>
      <c r="F19" s="6" t="n">
        <v>19.4</v>
      </c>
      <c r="G19" s="6" t="n">
        <v>50.54</v>
      </c>
    </row>
    <row r="20" customFormat="false" ht="15" hidden="false" customHeight="true" outlineLevel="0" collapsed="false">
      <c r="B20" s="5" t="s">
        <v>124</v>
      </c>
      <c r="C20" s="5" t="n">
        <v>44</v>
      </c>
      <c r="D20" s="5" t="s">
        <v>61</v>
      </c>
      <c r="E20" s="6" t="n">
        <v>17.7</v>
      </c>
      <c r="F20" s="6" t="n">
        <v>17.8</v>
      </c>
      <c r="G20" s="6" t="n">
        <v>47.79</v>
      </c>
    </row>
    <row r="21" customFormat="false" ht="15" hidden="false" customHeight="true" outlineLevel="0" collapsed="false">
      <c r="B21" s="5" t="s">
        <v>125</v>
      </c>
      <c r="C21" s="5" t="n">
        <v>68</v>
      </c>
      <c r="D21" s="5" t="s">
        <v>61</v>
      </c>
      <c r="E21" s="6" t="n">
        <v>16.32</v>
      </c>
      <c r="F21" s="6" t="n">
        <v>16.6</v>
      </c>
      <c r="G21" s="6" t="n">
        <v>46.51</v>
      </c>
    </row>
    <row r="22" customFormat="false" ht="15" hidden="false" customHeight="true" outlineLevel="0" collapsed="false">
      <c r="B22" s="5" t="s">
        <v>126</v>
      </c>
      <c r="C22" s="5" t="n">
        <v>49</v>
      </c>
      <c r="D22" s="5" t="s">
        <v>61</v>
      </c>
      <c r="E22" s="6" t="n">
        <v>12.59</v>
      </c>
      <c r="F22" s="6" t="n">
        <v>14.64</v>
      </c>
      <c r="G22" s="6" t="n">
        <v>34</v>
      </c>
    </row>
    <row r="23" customFormat="false" ht="15" hidden="false" customHeight="true" outlineLevel="0" collapsed="false">
      <c r="B23" s="5" t="s">
        <v>127</v>
      </c>
      <c r="C23" s="5" t="n">
        <v>67</v>
      </c>
      <c r="D23" s="5" t="s">
        <v>61</v>
      </c>
      <c r="E23" s="6" t="n">
        <v>12.22</v>
      </c>
      <c r="F23" s="6" t="n">
        <v>14.6</v>
      </c>
      <c r="G23" s="6" t="n">
        <v>32.99</v>
      </c>
    </row>
    <row r="24" customFormat="false" ht="15" hidden="false" customHeight="true" outlineLevel="0" collapsed="false">
      <c r="B24" s="5" t="s">
        <v>128</v>
      </c>
      <c r="C24" s="5" t="n">
        <v>66</v>
      </c>
      <c r="D24" s="5" t="s">
        <v>61</v>
      </c>
      <c r="E24" s="6" t="n">
        <v>12.2</v>
      </c>
      <c r="F24" s="6" t="n">
        <v>14.6</v>
      </c>
      <c r="G24" s="6" t="n">
        <v>32.94</v>
      </c>
    </row>
    <row r="25" customFormat="false" ht="15" hidden="false" customHeight="true" outlineLevel="0" collapsed="false">
      <c r="B25" s="5" t="s">
        <v>129</v>
      </c>
      <c r="C25" s="5" t="n">
        <v>63</v>
      </c>
      <c r="D25" s="5" t="s">
        <v>61</v>
      </c>
      <c r="E25" s="6" t="n">
        <v>11.86</v>
      </c>
      <c r="F25" s="6" t="n">
        <v>14.32</v>
      </c>
      <c r="G25" s="6" t="n">
        <v>32.01</v>
      </c>
    </row>
    <row r="26" customFormat="false" ht="15" hidden="false" customHeight="true" outlineLevel="0" collapsed="false">
      <c r="B26" s="5" t="s">
        <v>130</v>
      </c>
      <c r="C26" s="5" t="n">
        <v>64</v>
      </c>
      <c r="D26" s="5" t="s">
        <v>61</v>
      </c>
      <c r="E26" s="6" t="n">
        <v>11.86</v>
      </c>
      <c r="F26" s="6" t="n">
        <v>14.32</v>
      </c>
      <c r="G26" s="6" t="n">
        <v>32.01</v>
      </c>
    </row>
    <row r="27" customFormat="false" ht="15" hidden="false" customHeight="true" outlineLevel="0" collapsed="false">
      <c r="B27" s="5" t="s">
        <v>131</v>
      </c>
      <c r="C27" s="5" t="n">
        <v>65</v>
      </c>
      <c r="D27" s="5" t="s">
        <v>61</v>
      </c>
      <c r="E27" s="6" t="n">
        <v>11.84</v>
      </c>
      <c r="F27" s="6" t="n">
        <v>14.32</v>
      </c>
      <c r="G27" s="6" t="n">
        <v>31.96</v>
      </c>
    </row>
    <row r="28" customFormat="false" ht="15" hidden="false" customHeight="true" outlineLevel="0" collapsed="false">
      <c r="B28" s="5" t="s">
        <v>132</v>
      </c>
      <c r="C28" s="5" t="n">
        <v>57</v>
      </c>
      <c r="D28" s="5" t="s">
        <v>61</v>
      </c>
      <c r="E28" s="6" t="n">
        <v>10.48</v>
      </c>
      <c r="F28" s="6" t="n">
        <v>12.96</v>
      </c>
      <c r="G28" s="6" t="n">
        <v>28.29</v>
      </c>
    </row>
    <row r="29" customFormat="false" ht="15" hidden="false" customHeight="true" outlineLevel="0" collapsed="false">
      <c r="B29" s="5" t="s">
        <v>133</v>
      </c>
      <c r="C29" s="5" t="n">
        <v>45</v>
      </c>
      <c r="D29" s="5" t="s">
        <v>61</v>
      </c>
      <c r="E29" s="6" t="n">
        <v>9.3</v>
      </c>
      <c r="F29" s="6" t="n">
        <v>12.2</v>
      </c>
      <c r="G29" s="6" t="n">
        <v>25.11</v>
      </c>
    </row>
    <row r="30" customFormat="false" ht="15" hidden="false" customHeight="true" outlineLevel="0" collapsed="false">
      <c r="B30" s="5" t="s">
        <v>134</v>
      </c>
      <c r="C30" s="5" t="n">
        <v>46</v>
      </c>
      <c r="D30" s="5" t="s">
        <v>61</v>
      </c>
      <c r="E30" s="6" t="n">
        <v>9.3</v>
      </c>
      <c r="F30" s="6" t="n">
        <v>12.2</v>
      </c>
      <c r="G30" s="6" t="n">
        <v>25.11</v>
      </c>
    </row>
    <row r="31" customFormat="false" ht="15" hidden="false" customHeight="true" outlineLevel="0" collapsed="false">
      <c r="B31" s="5" t="s">
        <v>135</v>
      </c>
      <c r="C31" s="5" t="n">
        <v>47</v>
      </c>
      <c r="D31" s="5" t="s">
        <v>61</v>
      </c>
      <c r="E31" s="6" t="n">
        <v>9.3</v>
      </c>
      <c r="F31" s="6" t="n">
        <v>12.2</v>
      </c>
      <c r="G31" s="6" t="n">
        <v>25.11</v>
      </c>
    </row>
    <row r="32" customFormat="false" ht="15" hidden="false" customHeight="true" outlineLevel="0" collapsed="false">
      <c r="B32" s="5" t="s">
        <v>136</v>
      </c>
      <c r="C32" s="5" t="n">
        <v>48</v>
      </c>
      <c r="D32" s="5" t="s">
        <v>61</v>
      </c>
      <c r="E32" s="6" t="n">
        <v>7.04</v>
      </c>
      <c r="F32" s="6" t="n">
        <v>11.04</v>
      </c>
      <c r="G32" s="6" t="n">
        <v>19.01</v>
      </c>
    </row>
    <row r="33" customFormat="false" ht="15" hidden="false" customHeight="true" outlineLevel="0" collapsed="false">
      <c r="B33" s="5" t="s">
        <v>137</v>
      </c>
      <c r="C33" s="5" t="n">
        <v>60</v>
      </c>
      <c r="D33" s="5" t="s">
        <v>62</v>
      </c>
      <c r="E33" s="6" t="n">
        <v>89.12</v>
      </c>
      <c r="F33" s="6" t="n">
        <v>47.6</v>
      </c>
      <c r="G33" s="6" t="n">
        <v>253.99</v>
      </c>
    </row>
    <row r="34" customFormat="false" ht="15" hidden="false" customHeight="true" outlineLevel="0" collapsed="false">
      <c r="B34" s="5" t="s">
        <v>138</v>
      </c>
      <c r="C34" s="5" t="n">
        <v>53</v>
      </c>
      <c r="D34" s="5" t="s">
        <v>62</v>
      </c>
      <c r="E34" s="6" t="n">
        <v>48.03</v>
      </c>
      <c r="F34" s="6" t="n">
        <v>31.95</v>
      </c>
      <c r="G34" s="6" t="n">
        <v>129.69</v>
      </c>
    </row>
    <row r="35" customFormat="false" ht="15" hidden="false" customHeight="true" outlineLevel="0" collapsed="false">
      <c r="B35" s="5" t="s">
        <v>121</v>
      </c>
      <c r="C35" s="5" t="n">
        <v>54</v>
      </c>
      <c r="D35" s="5" t="s">
        <v>62</v>
      </c>
      <c r="E35" s="6" t="n">
        <v>34.95</v>
      </c>
      <c r="F35" s="6" t="n">
        <v>41.52</v>
      </c>
      <c r="G35" s="6" t="n">
        <v>99.61</v>
      </c>
    </row>
    <row r="36" customFormat="false" ht="15" hidden="false" customHeight="true" outlineLevel="0" collapsed="false">
      <c r="B36" s="5" t="s">
        <v>119</v>
      </c>
      <c r="C36" s="5" t="n">
        <v>55</v>
      </c>
      <c r="D36" s="5" t="s">
        <v>62</v>
      </c>
      <c r="E36" s="6" t="n">
        <v>23.78</v>
      </c>
      <c r="F36" s="6" t="n">
        <v>23.6</v>
      </c>
      <c r="G36" s="6" t="n">
        <v>67.77</v>
      </c>
    </row>
    <row r="37" customFormat="false" ht="15" hidden="false" customHeight="true" outlineLevel="0" collapsed="false">
      <c r="B37" s="5" t="s">
        <v>120</v>
      </c>
      <c r="C37" s="5" t="n">
        <v>52</v>
      </c>
      <c r="D37" s="5" t="s">
        <v>62</v>
      </c>
      <c r="E37" s="6" t="n">
        <v>18.21</v>
      </c>
      <c r="F37" s="6" t="n">
        <v>20.05</v>
      </c>
      <c r="G37" s="6" t="n">
        <v>49.16</v>
      </c>
    </row>
    <row r="38" customFormat="false" ht="15" hidden="false" customHeight="true" outlineLevel="0" collapsed="false">
      <c r="B38" s="5" t="s">
        <v>120</v>
      </c>
      <c r="C38" s="5" t="n">
        <v>69</v>
      </c>
      <c r="D38" s="5" t="s">
        <v>63</v>
      </c>
      <c r="E38" s="6" t="n">
        <v>42.95</v>
      </c>
      <c r="F38" s="6" t="n">
        <v>44.85</v>
      </c>
      <c r="G38" s="6" t="n">
        <v>122.41</v>
      </c>
    </row>
    <row r="39" customFormat="false" ht="15" hidden="false" customHeight="true" outlineLevel="0" collapsed="false">
      <c r="B39" s="5" t="s">
        <v>133</v>
      </c>
      <c r="C39" s="5" t="n">
        <v>70</v>
      </c>
      <c r="D39" s="5" t="s">
        <v>63</v>
      </c>
      <c r="E39" s="6" t="n">
        <v>22.1</v>
      </c>
      <c r="F39" s="6" t="n">
        <v>21</v>
      </c>
      <c r="G39" s="6" t="n">
        <v>63</v>
      </c>
    </row>
    <row r="40" customFormat="false" ht="15" hidden="false" customHeight="true" outlineLevel="0" collapsed="false">
      <c r="B40" s="5" t="s">
        <v>134</v>
      </c>
      <c r="C40" s="5" t="n">
        <v>76</v>
      </c>
      <c r="D40" s="5" t="s">
        <v>63</v>
      </c>
      <c r="E40" s="6" t="n">
        <v>14.96</v>
      </c>
      <c r="F40" s="6" t="n">
        <v>15.8</v>
      </c>
      <c r="G40" s="6" t="n">
        <v>42.64</v>
      </c>
    </row>
    <row r="41" customFormat="false" ht="15" hidden="false" customHeight="true" outlineLevel="0" collapsed="false">
      <c r="B41" s="5" t="s">
        <v>133</v>
      </c>
      <c r="C41" s="5" t="n">
        <v>72</v>
      </c>
      <c r="D41" s="5" t="s">
        <v>63</v>
      </c>
      <c r="E41" s="6" t="n">
        <v>14.34</v>
      </c>
      <c r="F41" s="6" t="n">
        <v>17</v>
      </c>
      <c r="G41" s="6" t="n">
        <v>40.87</v>
      </c>
    </row>
    <row r="42" customFormat="false" ht="15" hidden="false" customHeight="true" outlineLevel="0" collapsed="false">
      <c r="B42" s="5" t="s">
        <v>133</v>
      </c>
      <c r="C42" s="5" t="n">
        <v>73</v>
      </c>
      <c r="D42" s="5" t="s">
        <v>63</v>
      </c>
      <c r="E42" s="6" t="n">
        <v>14.34</v>
      </c>
      <c r="F42" s="6" t="n">
        <v>17</v>
      </c>
      <c r="G42" s="6" t="n">
        <v>40.87</v>
      </c>
    </row>
    <row r="43" customFormat="false" ht="15" hidden="false" customHeight="true" outlineLevel="0" collapsed="false">
      <c r="B43" s="5" t="s">
        <v>133</v>
      </c>
      <c r="C43" s="5" t="n">
        <v>74</v>
      </c>
      <c r="D43" s="5" t="s">
        <v>63</v>
      </c>
      <c r="E43" s="6" t="n">
        <v>14.34</v>
      </c>
      <c r="F43" s="6" t="n">
        <v>17</v>
      </c>
      <c r="G43" s="6" t="n">
        <v>40.87</v>
      </c>
    </row>
    <row r="44" customFormat="false" ht="15" hidden="false" customHeight="true" outlineLevel="0" collapsed="false">
      <c r="B44" s="5" t="s">
        <v>133</v>
      </c>
      <c r="C44" s="5" t="n">
        <v>78</v>
      </c>
      <c r="D44" s="5" t="s">
        <v>63</v>
      </c>
      <c r="E44" s="6" t="n">
        <v>14.14</v>
      </c>
      <c r="F44" s="6" t="n">
        <v>16.8</v>
      </c>
      <c r="G44" s="6" t="n">
        <v>40.3</v>
      </c>
    </row>
    <row r="45" customFormat="false" ht="15" hidden="false" customHeight="true" outlineLevel="0" collapsed="false">
      <c r="B45" s="5" t="s">
        <v>133</v>
      </c>
      <c r="C45" s="5" t="n">
        <v>75</v>
      </c>
      <c r="D45" s="5" t="s">
        <v>63</v>
      </c>
      <c r="E45" s="6" t="n">
        <v>13.91</v>
      </c>
      <c r="F45" s="6" t="n">
        <v>16.8</v>
      </c>
      <c r="G45" s="6" t="n">
        <v>39.64</v>
      </c>
    </row>
    <row r="46" customFormat="false" ht="15" hidden="false" customHeight="true" outlineLevel="0" collapsed="false">
      <c r="B46" s="5" t="s">
        <v>133</v>
      </c>
      <c r="C46" s="5" t="n">
        <v>77</v>
      </c>
      <c r="D46" s="5" t="s">
        <v>63</v>
      </c>
      <c r="E46" s="6" t="n">
        <v>13.91</v>
      </c>
      <c r="F46" s="6" t="n">
        <v>16.8</v>
      </c>
      <c r="G46" s="6" t="n">
        <v>39.64</v>
      </c>
    </row>
    <row r="47" customFormat="false" ht="15" hidden="false" customHeight="true" outlineLevel="0" collapsed="false">
      <c r="B47" s="5" t="s">
        <v>139</v>
      </c>
      <c r="C47" s="5" t="n">
        <v>85</v>
      </c>
      <c r="D47" s="5" t="s">
        <v>63</v>
      </c>
      <c r="E47" s="6" t="n">
        <v>6.11</v>
      </c>
      <c r="F47" s="6" t="n">
        <v>12</v>
      </c>
      <c r="G47" s="6" t="n">
        <v>17.41</v>
      </c>
    </row>
    <row r="48" customFormat="false" ht="15" hidden="false" customHeight="true" outlineLevel="0" collapsed="false">
      <c r="B48" s="5" t="s">
        <v>139</v>
      </c>
      <c r="C48" s="5" t="n">
        <v>100</v>
      </c>
      <c r="D48" s="5" t="s">
        <v>63</v>
      </c>
      <c r="E48" s="6" t="n">
        <v>6.11</v>
      </c>
      <c r="F48" s="6" t="n">
        <v>12</v>
      </c>
      <c r="G48" s="6" t="n">
        <v>17.41</v>
      </c>
    </row>
    <row r="49" customFormat="false" ht="15" hidden="false" customHeight="true" outlineLevel="0" collapsed="false">
      <c r="B49" s="5" t="s">
        <v>139</v>
      </c>
      <c r="C49" s="5" t="n">
        <v>103</v>
      </c>
      <c r="D49" s="5" t="s">
        <v>63</v>
      </c>
      <c r="E49" s="6" t="n">
        <v>5.27</v>
      </c>
      <c r="F49" s="6" t="n">
        <v>10.6</v>
      </c>
      <c r="G49" s="6" t="n">
        <v>15.03</v>
      </c>
    </row>
    <row r="50" customFormat="false" ht="15" hidden="false" customHeight="true" outlineLevel="0" collapsed="false">
      <c r="B50" s="5" t="s">
        <v>139</v>
      </c>
      <c r="C50" s="5" t="n">
        <v>104</v>
      </c>
      <c r="D50" s="5" t="s">
        <v>63</v>
      </c>
      <c r="E50" s="6" t="n">
        <v>5.27</v>
      </c>
      <c r="F50" s="6" t="n">
        <v>10.6</v>
      </c>
      <c r="G50" s="6" t="n">
        <v>15.03</v>
      </c>
    </row>
    <row r="51" customFormat="false" ht="15" hidden="false" customHeight="true" outlineLevel="0" collapsed="false">
      <c r="B51" s="5" t="s">
        <v>139</v>
      </c>
      <c r="C51" s="5" t="n">
        <v>101</v>
      </c>
      <c r="D51" s="5" t="s">
        <v>63</v>
      </c>
      <c r="E51" s="6" t="n">
        <v>5.14</v>
      </c>
      <c r="F51" s="6" t="n">
        <v>10.4</v>
      </c>
      <c r="G51" s="6" t="n">
        <v>14.66</v>
      </c>
    </row>
    <row r="52" customFormat="false" ht="15" hidden="false" customHeight="true" outlineLevel="0" collapsed="false">
      <c r="B52" s="5" t="s">
        <v>139</v>
      </c>
      <c r="C52" s="5" t="n">
        <v>102</v>
      </c>
      <c r="D52" s="5" t="s">
        <v>63</v>
      </c>
      <c r="E52" s="6" t="n">
        <v>5.02</v>
      </c>
      <c r="F52" s="6" t="n">
        <v>10.2</v>
      </c>
      <c r="G52" s="6" t="n">
        <v>14.29</v>
      </c>
    </row>
    <row r="53" customFormat="false" ht="15" hidden="false" customHeight="true" outlineLevel="0" collapsed="false">
      <c r="B53" s="5" t="s">
        <v>139</v>
      </c>
      <c r="C53" s="5" t="n">
        <v>105</v>
      </c>
      <c r="D53" s="5" t="s">
        <v>63</v>
      </c>
      <c r="E53" s="6" t="n">
        <v>5.02</v>
      </c>
      <c r="F53" s="6" t="n">
        <v>10.2</v>
      </c>
      <c r="G53" s="6" t="n">
        <v>14.29</v>
      </c>
    </row>
    <row r="54" customFormat="false" ht="15" hidden="false" customHeight="true" outlineLevel="0" collapsed="false">
      <c r="B54" s="5" t="s">
        <v>140</v>
      </c>
      <c r="C54" s="5" t="n">
        <v>71</v>
      </c>
      <c r="D54" s="5" t="s">
        <v>63</v>
      </c>
      <c r="E54" s="6" t="n">
        <v>3.43</v>
      </c>
      <c r="F54" s="6" t="n">
        <v>7.45</v>
      </c>
      <c r="G54" s="6" t="n">
        <v>9.76</v>
      </c>
    </row>
    <row r="55" customFormat="false" ht="15" hidden="false" customHeight="true" outlineLevel="0" collapsed="false">
      <c r="B55" s="5" t="s">
        <v>140</v>
      </c>
      <c r="C55" s="5" t="n">
        <v>79</v>
      </c>
      <c r="D55" s="5" t="s">
        <v>63</v>
      </c>
      <c r="E55" s="6" t="n">
        <v>2.78</v>
      </c>
      <c r="F55" s="6" t="n">
        <v>6.8</v>
      </c>
      <c r="G55" s="6" t="n">
        <v>7.92</v>
      </c>
    </row>
    <row r="56" customFormat="false" ht="15" hidden="false" customHeight="true" outlineLevel="0" collapsed="false">
      <c r="B56" s="5" t="s">
        <v>140</v>
      </c>
      <c r="C56" s="5" t="n">
        <v>80</v>
      </c>
      <c r="D56" s="5" t="s">
        <v>63</v>
      </c>
      <c r="E56" s="6" t="n">
        <v>2.78</v>
      </c>
      <c r="F56" s="6" t="n">
        <v>6.8</v>
      </c>
      <c r="G56" s="6" t="n">
        <v>7.92</v>
      </c>
    </row>
    <row r="57" customFormat="false" ht="15" hidden="false" customHeight="true" outlineLevel="0" collapsed="false">
      <c r="B57" s="5" t="s">
        <v>140</v>
      </c>
      <c r="C57" s="5" t="n">
        <v>81</v>
      </c>
      <c r="D57" s="5" t="s">
        <v>63</v>
      </c>
      <c r="E57" s="6" t="n">
        <v>2.78</v>
      </c>
      <c r="F57" s="6" t="n">
        <v>6.8</v>
      </c>
      <c r="G57" s="6" t="n">
        <v>7.92</v>
      </c>
    </row>
    <row r="58" customFormat="false" ht="15" hidden="false" customHeight="true" outlineLevel="0" collapsed="false">
      <c r="B58" s="5" t="s">
        <v>140</v>
      </c>
      <c r="C58" s="5" t="n">
        <v>82</v>
      </c>
      <c r="D58" s="5" t="s">
        <v>63</v>
      </c>
      <c r="E58" s="6" t="n">
        <v>2.78</v>
      </c>
      <c r="F58" s="6" t="n">
        <v>6.8</v>
      </c>
      <c r="G58" s="6" t="n">
        <v>7.92</v>
      </c>
    </row>
    <row r="59" customFormat="false" ht="15" hidden="false" customHeight="true" outlineLevel="0" collapsed="false">
      <c r="B59" s="5" t="s">
        <v>140</v>
      </c>
      <c r="C59" s="5" t="n">
        <v>83</v>
      </c>
      <c r="D59" s="5" t="s">
        <v>63</v>
      </c>
      <c r="E59" s="6" t="n">
        <v>2.78</v>
      </c>
      <c r="F59" s="6" t="n">
        <v>6.8</v>
      </c>
      <c r="G59" s="6" t="n">
        <v>7.92</v>
      </c>
    </row>
    <row r="60" customFormat="false" ht="15" hidden="false" customHeight="true" outlineLevel="0" collapsed="false">
      <c r="B60" s="5" t="s">
        <v>140</v>
      </c>
      <c r="C60" s="5" t="n">
        <v>84</v>
      </c>
      <c r="D60" s="5" t="s">
        <v>63</v>
      </c>
      <c r="E60" s="6" t="n">
        <v>2.78</v>
      </c>
      <c r="F60" s="6" t="n">
        <v>6.8</v>
      </c>
      <c r="G60" s="6" t="n">
        <v>7.92</v>
      </c>
    </row>
    <row r="61" customFormat="false" ht="15" hidden="false" customHeight="true" outlineLevel="0" collapsed="false">
      <c r="B61" s="5" t="s">
        <v>141</v>
      </c>
      <c r="C61" s="5" t="n">
        <v>86</v>
      </c>
      <c r="D61" s="5" t="s">
        <v>68</v>
      </c>
      <c r="E61" s="6" t="n">
        <v>102.24</v>
      </c>
      <c r="F61" s="6" t="n">
        <v>65.27</v>
      </c>
      <c r="G61" s="6" t="n">
        <v>291.37</v>
      </c>
    </row>
    <row r="62" customFormat="false" ht="15" hidden="false" customHeight="true" outlineLevel="0" collapsed="false">
      <c r="B62" s="5" t="s">
        <v>120</v>
      </c>
      <c r="C62" s="5" t="n">
        <v>87</v>
      </c>
      <c r="D62" s="5" t="s">
        <v>68</v>
      </c>
      <c r="E62" s="6" t="n">
        <v>20.94</v>
      </c>
      <c r="F62" s="6" t="n">
        <v>22.94</v>
      </c>
      <c r="G62" s="6" t="n">
        <v>59.69</v>
      </c>
    </row>
    <row r="63" customFormat="false" ht="15" hidden="false" customHeight="true" outlineLevel="0" collapsed="false">
      <c r="B63" s="5" t="s">
        <v>142</v>
      </c>
      <c r="C63" s="5" t="n">
        <v>97</v>
      </c>
      <c r="D63" s="5" t="s">
        <v>68</v>
      </c>
      <c r="E63" s="6" t="n">
        <v>19.26</v>
      </c>
      <c r="F63" s="6" t="n">
        <v>18.7</v>
      </c>
      <c r="G63" s="6" t="n">
        <v>54.9</v>
      </c>
    </row>
    <row r="64" customFormat="false" ht="15" hidden="false" customHeight="true" outlineLevel="0" collapsed="false">
      <c r="B64" s="5" t="s">
        <v>142</v>
      </c>
      <c r="C64" s="5" t="n">
        <v>98</v>
      </c>
      <c r="D64" s="5" t="s">
        <v>68</v>
      </c>
      <c r="E64" s="6" t="n">
        <v>19.26</v>
      </c>
      <c r="F64" s="6" t="n">
        <v>18.7</v>
      </c>
      <c r="G64" s="6" t="n">
        <v>54.9</v>
      </c>
    </row>
    <row r="65" customFormat="false" ht="15" hidden="false" customHeight="true" outlineLevel="0" collapsed="false">
      <c r="B65" s="5" t="s">
        <v>118</v>
      </c>
      <c r="C65" s="5" t="n">
        <v>92</v>
      </c>
      <c r="D65" s="5" t="s">
        <v>68</v>
      </c>
      <c r="E65" s="6" t="n">
        <v>14.96</v>
      </c>
      <c r="F65" s="6" t="n">
        <v>15.8</v>
      </c>
      <c r="G65" s="6" t="n">
        <v>42.64</v>
      </c>
    </row>
    <row r="66" customFormat="false" ht="15" hidden="false" customHeight="true" outlineLevel="0" collapsed="false">
      <c r="B66" s="5" t="s">
        <v>122</v>
      </c>
      <c r="C66" s="5" t="n">
        <v>88</v>
      </c>
      <c r="D66" s="5" t="s">
        <v>68</v>
      </c>
      <c r="E66" s="6" t="n">
        <v>12.09</v>
      </c>
      <c r="F66" s="6" t="n">
        <v>15</v>
      </c>
      <c r="G66" s="6" t="n">
        <v>34.46</v>
      </c>
    </row>
    <row r="67" customFormat="false" ht="15" hidden="false" customHeight="true" outlineLevel="0" collapsed="false">
      <c r="B67" s="5" t="s">
        <v>122</v>
      </c>
      <c r="C67" s="5" t="n">
        <v>90</v>
      </c>
      <c r="D67" s="5" t="s">
        <v>68</v>
      </c>
      <c r="E67" s="6" t="n">
        <v>12.09</v>
      </c>
      <c r="F67" s="6" t="n">
        <v>15</v>
      </c>
      <c r="G67" s="6" t="n">
        <v>34.46</v>
      </c>
    </row>
    <row r="68" customFormat="false" ht="15" hidden="false" customHeight="true" outlineLevel="0" collapsed="false">
      <c r="B68" s="5" t="s">
        <v>121</v>
      </c>
      <c r="C68" s="5" t="n">
        <v>91</v>
      </c>
      <c r="D68" s="5" t="s">
        <v>68</v>
      </c>
      <c r="E68" s="6" t="n">
        <v>10.82</v>
      </c>
      <c r="F68" s="6" t="n">
        <v>17.54</v>
      </c>
      <c r="G68" s="6" t="n">
        <v>30.82</v>
      </c>
    </row>
    <row r="69" customFormat="false" ht="15" hidden="false" customHeight="true" outlineLevel="0" collapsed="false">
      <c r="B69" s="5" t="s">
        <v>121</v>
      </c>
      <c r="C69" s="5" t="n">
        <v>89</v>
      </c>
      <c r="D69" s="5" t="s">
        <v>68</v>
      </c>
      <c r="E69" s="6" t="n">
        <v>10.67</v>
      </c>
      <c r="F69" s="6" t="n">
        <v>20.44</v>
      </c>
      <c r="G69" s="6" t="n">
        <v>30.41</v>
      </c>
    </row>
    <row r="70" customFormat="false" ht="15" hidden="false" customHeight="true" outlineLevel="0" collapsed="false">
      <c r="B70" s="5" t="s">
        <v>143</v>
      </c>
      <c r="C70" s="5" t="n">
        <v>93</v>
      </c>
      <c r="D70" s="5" t="s">
        <v>68</v>
      </c>
      <c r="E70" s="6" t="n">
        <v>3.75</v>
      </c>
      <c r="F70" s="6" t="n">
        <v>8.3</v>
      </c>
      <c r="G70" s="6" t="n">
        <v>10.69</v>
      </c>
    </row>
    <row r="71" customFormat="false" ht="15" hidden="false" customHeight="true" outlineLevel="0" collapsed="false">
      <c r="B71" s="5" t="s">
        <v>143</v>
      </c>
      <c r="C71" s="5" t="n">
        <v>96</v>
      </c>
      <c r="D71" s="5" t="s">
        <v>68</v>
      </c>
      <c r="E71" s="6" t="n">
        <v>3.75</v>
      </c>
      <c r="F71" s="6" t="n">
        <v>8.3</v>
      </c>
      <c r="G71" s="6" t="n">
        <v>10.69</v>
      </c>
    </row>
    <row r="72" customFormat="false" ht="15" hidden="false" customHeight="true" outlineLevel="0" collapsed="false">
      <c r="B72" s="5" t="s">
        <v>144</v>
      </c>
      <c r="C72" s="5" t="n">
        <v>94</v>
      </c>
      <c r="D72" s="5" t="s">
        <v>68</v>
      </c>
      <c r="E72" s="6" t="n">
        <v>3.21</v>
      </c>
      <c r="F72" s="6" t="n">
        <v>7.8</v>
      </c>
      <c r="G72" s="6" t="n">
        <v>9.13</v>
      </c>
    </row>
    <row r="73" customFormat="false" ht="15" hidden="false" customHeight="true" outlineLevel="0" collapsed="false">
      <c r="B73" s="5" t="s">
        <v>144</v>
      </c>
      <c r="C73" s="5" t="n">
        <v>95</v>
      </c>
      <c r="D73" s="5" t="s">
        <v>68</v>
      </c>
      <c r="E73" s="6" t="n">
        <v>3.06</v>
      </c>
      <c r="F73" s="6" t="n">
        <v>7.5</v>
      </c>
      <c r="G73" s="6" t="n">
        <v>8.71</v>
      </c>
    </row>
    <row r="74" customFormat="false" ht="15" hidden="false" customHeight="true" outlineLevel="0" collapsed="false">
      <c r="B74" s="14" t="s">
        <v>70</v>
      </c>
      <c r="C74" s="14"/>
      <c r="D74" s="14"/>
      <c r="E74" s="15" t="n">
        <f aca="false">SUM(E7:E73)</f>
        <v>1468.44</v>
      </c>
      <c r="F74" s="15" t="n">
        <f aca="false">SUM(F7:F73)</f>
        <v>1393.19</v>
      </c>
      <c r="G74" s="15" t="n">
        <f aca="false">SUM(G7:G73)</f>
        <v>4437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55"/>
  </cols>
  <sheetData>
    <row r="2" customFormat="false" ht="19.5" hidden="false" customHeight="true" outlineLevel="0" collapsed="false">
      <c r="B2" s="2" t="s">
        <v>145</v>
      </c>
    </row>
    <row r="4" customFormat="false" ht="15" hidden="false" customHeight="true" outlineLevel="0" collapsed="false">
      <c r="B4" s="4" t="s">
        <v>146</v>
      </c>
      <c r="C4" s="4" t="s">
        <v>147</v>
      </c>
      <c r="D4" s="4" t="s">
        <v>148</v>
      </c>
    </row>
    <row r="5" customFormat="false" ht="60" hidden="false" customHeight="true" outlineLevel="0" collapsed="false">
      <c r="B5" s="27" t="s">
        <v>149</v>
      </c>
      <c r="C5" s="28" t="s">
        <v>150</v>
      </c>
      <c r="D5" s="28" t="s">
        <v>151</v>
      </c>
    </row>
    <row r="6" customFormat="false" ht="60" hidden="false" customHeight="true" outlineLevel="0" collapsed="false">
      <c r="B6" s="27" t="s">
        <v>152</v>
      </c>
      <c r="C6" s="28" t="s">
        <v>153</v>
      </c>
      <c r="D6" s="28" t="s">
        <v>154</v>
      </c>
    </row>
    <row r="7" customFormat="false" ht="60" hidden="false" customHeight="true" outlineLevel="0" collapsed="false">
      <c r="B7" s="27" t="s">
        <v>155</v>
      </c>
      <c r="C7" s="28" t="s">
        <v>156</v>
      </c>
      <c r="D7" s="28" t="s">
        <v>157</v>
      </c>
    </row>
    <row r="8" customFormat="false" ht="60" hidden="false" customHeight="true" outlineLevel="0" collapsed="false">
      <c r="B8" s="27" t="s">
        <v>158</v>
      </c>
      <c r="C8" s="28" t="s">
        <v>159</v>
      </c>
      <c r="D8" s="28" t="s">
        <v>160</v>
      </c>
    </row>
    <row r="9" customFormat="false" ht="60" hidden="false" customHeight="true" outlineLevel="0" collapsed="false">
      <c r="B9" s="27" t="s">
        <v>161</v>
      </c>
      <c r="C9" s="28" t="s">
        <v>162</v>
      </c>
      <c r="D9" s="28" t="s">
        <v>163</v>
      </c>
    </row>
    <row r="10" customFormat="false" ht="60" hidden="false" customHeight="true" outlineLevel="0" collapsed="false">
      <c r="B10" s="27" t="s">
        <v>164</v>
      </c>
      <c r="C10" s="28" t="s">
        <v>165</v>
      </c>
      <c r="D10" s="28" t="s">
        <v>166</v>
      </c>
    </row>
    <row r="11" customFormat="false" ht="60" hidden="false" customHeight="true" outlineLevel="0" collapsed="false">
      <c r="B11" s="27" t="s">
        <v>167</v>
      </c>
      <c r="C11" s="28" t="s">
        <v>168</v>
      </c>
      <c r="D11" s="28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2026-06-20T03:57:09Z</dcterms:created>
  <dc:creator>openpyxl</dc:creator>
  <dc:description/>
  <dc:language>en-US</dc:language>
  <cp:lastModifiedBy/>
  <dcterms:modified xsi:type="dcterms:W3CDTF">2026-06-20T06:48:48Z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